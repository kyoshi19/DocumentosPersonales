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nip\Desktop\"/>
    </mc:Choice>
  </mc:AlternateContent>
  <xr:revisionPtr revIDLastSave="0" documentId="13_ncr:1_{E53C3E13-0729-426A-A644-F3097E8E3D41}" xr6:coauthVersionLast="41" xr6:coauthVersionMax="41" xr10:uidLastSave="{00000000-0000-0000-0000-000000000000}"/>
  <bookViews>
    <workbookView xWindow="-120" yWindow="-120" windowWidth="20730" windowHeight="11160" tabRatio="932" activeTab="4" xr2:uid="{CE6190E1-F1CD-49B1-B1DB-92EA41FD1353}"/>
  </bookViews>
  <sheets>
    <sheet name="Página Principal" sheetId="1" r:id="rId1"/>
    <sheet name="Registro de Clientes" sheetId="2" r:id="rId2"/>
    <sheet name="Registro de Servicios" sheetId="4" r:id="rId3"/>
    <sheet name="BD de Clientes" sheetId="3" r:id="rId4"/>
    <sheet name="BD de Precios con Servicios" sheetId="6" r:id="rId5"/>
    <sheet name="BD de Estilistas" sheetId="7" r:id="rId6"/>
    <sheet name="Historial de Facturas" sheetId="8" r:id="rId7"/>
  </sheets>
  <definedNames>
    <definedName name="_xlnm.Print_Area" localSheetId="2">'Registro de Servicios'!$C$2:$K$19</definedName>
    <definedName name="Estilistas">'BD de Estilistas'!$A$2:$A$18</definedName>
    <definedName name="FormatosdePago">'BD de Precios con Servicios'!$H$11:$I$14</definedName>
    <definedName name="Names">'BD de Clientes'!$A$2:$A$7</definedName>
    <definedName name="NombreClientes">#REF!</definedName>
    <definedName name="NombreCompleto">#REF!</definedName>
    <definedName name="Nombres">#REF!</definedName>
    <definedName name="PreciosPromo">'BD de Precios con Servicios'!$C$30:$C$60</definedName>
    <definedName name="PreciosRegulares">'BD de Precios con Servicios'!$C$3:$C$29</definedName>
    <definedName name="Servicios">'BD de Precios con Servicios'!$B$2:$B$60</definedName>
    <definedName name="ServiciosRegulares">'BD de Precios con Servicios'!$B$3:$B$29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8" l="1"/>
  <c r="G13" i="8"/>
  <c r="G12" i="8"/>
  <c r="H12" i="8" s="1"/>
  <c r="J12" i="8" s="1"/>
  <c r="H11" i="8"/>
  <c r="J11" i="8" s="1"/>
  <c r="G11" i="8"/>
  <c r="G10" i="8"/>
  <c r="G34" i="8"/>
  <c r="G33" i="8"/>
  <c r="G32" i="8"/>
  <c r="H32" i="8" s="1"/>
  <c r="J32" i="8" s="1"/>
  <c r="H31" i="8"/>
  <c r="J31" i="8" s="1"/>
  <c r="G31" i="8"/>
  <c r="G30" i="8"/>
  <c r="H14" i="8" l="1"/>
  <c r="J14" i="8" s="1"/>
  <c r="H10" i="8"/>
  <c r="J10" i="8" s="1"/>
  <c r="J16" i="8" s="1"/>
  <c r="H13" i="8"/>
  <c r="J13" i="8" s="1"/>
  <c r="H34" i="8"/>
  <c r="J34" i="8" s="1"/>
  <c r="H33" i="8"/>
  <c r="J33" i="8" s="1"/>
  <c r="H30" i="8"/>
  <c r="J30" i="8" s="1"/>
  <c r="J36" i="8" s="1"/>
  <c r="G54" i="8"/>
  <c r="G53" i="8"/>
  <c r="G52" i="8"/>
  <c r="H52" i="8" s="1"/>
  <c r="J52" i="8" s="1"/>
  <c r="H51" i="8"/>
  <c r="G51" i="8"/>
  <c r="J51" i="8" s="1"/>
  <c r="G50" i="8"/>
  <c r="G74" i="8"/>
  <c r="G73" i="8"/>
  <c r="G72" i="8"/>
  <c r="H72" i="8" s="1"/>
  <c r="J72" i="8" s="1"/>
  <c r="H71" i="8"/>
  <c r="J71" i="8" s="1"/>
  <c r="G71" i="8"/>
  <c r="G70" i="8"/>
  <c r="J50" i="8" l="1"/>
  <c r="H54" i="8"/>
  <c r="J54" i="8" s="1"/>
  <c r="H50" i="8"/>
  <c r="H53" i="8"/>
  <c r="J53" i="8" s="1"/>
  <c r="H70" i="8"/>
  <c r="J70" i="8" s="1"/>
  <c r="J76" i="8" s="1"/>
  <c r="H74" i="8"/>
  <c r="J74" i="8" s="1"/>
  <c r="H73" i="8"/>
  <c r="J73" i="8" s="1"/>
  <c r="G94" i="8"/>
  <c r="G93" i="8"/>
  <c r="G92" i="8"/>
  <c r="H92" i="8" s="1"/>
  <c r="J92" i="8" s="1"/>
  <c r="H91" i="8"/>
  <c r="J91" i="8" s="1"/>
  <c r="G91" i="8"/>
  <c r="G90" i="8"/>
  <c r="G114" i="8"/>
  <c r="G113" i="8"/>
  <c r="G112" i="8"/>
  <c r="H112" i="8" s="1"/>
  <c r="J112" i="8" s="1"/>
  <c r="H111" i="8"/>
  <c r="J111" i="8" s="1"/>
  <c r="G111" i="8"/>
  <c r="G110" i="8"/>
  <c r="H110" i="8" s="1"/>
  <c r="G134" i="8"/>
  <c r="H134" i="8" s="1"/>
  <c r="G133" i="8"/>
  <c r="G132" i="8"/>
  <c r="H132" i="8" s="1"/>
  <c r="J132" i="8" s="1"/>
  <c r="H131" i="8"/>
  <c r="J131" i="8" s="1"/>
  <c r="G131" i="8"/>
  <c r="G130" i="8"/>
  <c r="J56" i="8" l="1"/>
  <c r="J90" i="8"/>
  <c r="H94" i="8"/>
  <c r="J94" i="8" s="1"/>
  <c r="H93" i="8"/>
  <c r="J93" i="8" s="1"/>
  <c r="H90" i="8"/>
  <c r="H114" i="8"/>
  <c r="J114" i="8" s="1"/>
  <c r="J110" i="8"/>
  <c r="H113" i="8"/>
  <c r="J113" i="8" s="1"/>
  <c r="H130" i="8"/>
  <c r="J130" i="8" s="1"/>
  <c r="H133" i="8"/>
  <c r="J133" i="8" s="1"/>
  <c r="J134" i="8"/>
  <c r="G154" i="8"/>
  <c r="G153" i="8"/>
  <c r="G152" i="8"/>
  <c r="H152" i="8" s="1"/>
  <c r="J152" i="8" s="1"/>
  <c r="H151" i="8"/>
  <c r="J151" i="8" s="1"/>
  <c r="G151" i="8"/>
  <c r="G150" i="8"/>
  <c r="G174" i="8"/>
  <c r="G173" i="8"/>
  <c r="G172" i="8"/>
  <c r="H172" i="8" s="1"/>
  <c r="J172" i="8" s="1"/>
  <c r="H171" i="8"/>
  <c r="J171" i="8" s="1"/>
  <c r="G171" i="8"/>
  <c r="G170" i="8"/>
  <c r="G194" i="8"/>
  <c r="G193" i="8"/>
  <c r="G192" i="8"/>
  <c r="H192" i="8" s="1"/>
  <c r="J192" i="8" s="1"/>
  <c r="H191" i="8"/>
  <c r="J191" i="8" s="1"/>
  <c r="G191" i="8"/>
  <c r="G190" i="8"/>
  <c r="H190" i="8" s="1"/>
  <c r="G214" i="8"/>
  <c r="G213" i="8"/>
  <c r="G212" i="8"/>
  <c r="H212" i="8" s="1"/>
  <c r="J212" i="8" s="1"/>
  <c r="H211" i="8"/>
  <c r="J211" i="8" s="1"/>
  <c r="G211" i="8"/>
  <c r="G210" i="8"/>
  <c r="H210" i="8" s="1"/>
  <c r="G234" i="8"/>
  <c r="G233" i="8"/>
  <c r="G232" i="8"/>
  <c r="H232" i="8" s="1"/>
  <c r="J232" i="8" s="1"/>
  <c r="H231" i="8"/>
  <c r="J231" i="8" s="1"/>
  <c r="G231" i="8"/>
  <c r="G230" i="8"/>
  <c r="H230" i="8" s="1"/>
  <c r="G254" i="8"/>
  <c r="G253" i="8"/>
  <c r="G252" i="8"/>
  <c r="H252" i="8" s="1"/>
  <c r="H251" i="8"/>
  <c r="G251" i="8"/>
  <c r="J251" i="8" s="1"/>
  <c r="G250" i="8"/>
  <c r="J96" i="8" l="1"/>
  <c r="J116" i="8"/>
  <c r="J136" i="8"/>
  <c r="H150" i="8"/>
  <c r="J150" i="8" s="1"/>
  <c r="H154" i="8"/>
  <c r="J154" i="8" s="1"/>
  <c r="H153" i="8"/>
  <c r="J153" i="8" s="1"/>
  <c r="H170" i="8"/>
  <c r="J170" i="8" s="1"/>
  <c r="J176" i="8" s="1"/>
  <c r="H174" i="8"/>
  <c r="J174" i="8" s="1"/>
  <c r="H173" i="8"/>
  <c r="J173" i="8" s="1"/>
  <c r="H194" i="8"/>
  <c r="J194" i="8" s="1"/>
  <c r="J190" i="8"/>
  <c r="H193" i="8"/>
  <c r="J193" i="8" s="1"/>
  <c r="H214" i="8"/>
  <c r="J214" i="8" s="1"/>
  <c r="J210" i="8"/>
  <c r="H213" i="8"/>
  <c r="J213" i="8" s="1"/>
  <c r="H234" i="8"/>
  <c r="J234" i="8" s="1"/>
  <c r="J230" i="8"/>
  <c r="H233" i="8"/>
  <c r="J233" i="8" s="1"/>
  <c r="J252" i="8"/>
  <c r="H250" i="8"/>
  <c r="J250" i="8" s="1"/>
  <c r="H254" i="8"/>
  <c r="J254" i="8" s="1"/>
  <c r="H253" i="8"/>
  <c r="J253" i="8" s="1"/>
  <c r="G274" i="8"/>
  <c r="H274" i="8" s="1"/>
  <c r="J274" i="8" s="1"/>
  <c r="G273" i="8"/>
  <c r="G272" i="8"/>
  <c r="H272" i="8" s="1"/>
  <c r="G271" i="8"/>
  <c r="G270" i="8"/>
  <c r="G294" i="8"/>
  <c r="G293" i="8"/>
  <c r="G292" i="8"/>
  <c r="H292" i="8" s="1"/>
  <c r="J292" i="8" s="1"/>
  <c r="H291" i="8"/>
  <c r="J291" i="8" s="1"/>
  <c r="G291" i="8"/>
  <c r="G290" i="8"/>
  <c r="G314" i="8"/>
  <c r="G313" i="8"/>
  <c r="G312" i="8"/>
  <c r="H312" i="8" s="1"/>
  <c r="J312" i="8" s="1"/>
  <c r="H311" i="8"/>
  <c r="J311" i="8" s="1"/>
  <c r="G311" i="8"/>
  <c r="G310" i="8"/>
  <c r="G334" i="8"/>
  <c r="G333" i="8"/>
  <c r="G332" i="8"/>
  <c r="H332" i="8" s="1"/>
  <c r="J332" i="8" s="1"/>
  <c r="G331" i="8"/>
  <c r="H331" i="8" s="1"/>
  <c r="J331" i="8" s="1"/>
  <c r="G330" i="8"/>
  <c r="G354" i="8"/>
  <c r="G353" i="8"/>
  <c r="G352" i="8"/>
  <c r="H352" i="8" s="1"/>
  <c r="J352" i="8" s="1"/>
  <c r="H351" i="8"/>
  <c r="G351" i="8"/>
  <c r="G350" i="8"/>
  <c r="G374" i="8"/>
  <c r="G373" i="8"/>
  <c r="G372" i="8"/>
  <c r="H372" i="8" s="1"/>
  <c r="J372" i="8" s="1"/>
  <c r="G371" i="8"/>
  <c r="H371" i="8" s="1"/>
  <c r="J371" i="8" s="1"/>
  <c r="G370" i="8"/>
  <c r="G394" i="8"/>
  <c r="G393" i="8"/>
  <c r="G392" i="8"/>
  <c r="H392" i="8" s="1"/>
  <c r="J392" i="8" s="1"/>
  <c r="G391" i="8"/>
  <c r="H391" i="8" s="1"/>
  <c r="J391" i="8" s="1"/>
  <c r="G390" i="8"/>
  <c r="G414" i="8"/>
  <c r="H414" i="8" s="1"/>
  <c r="J414" i="8" s="1"/>
  <c r="G413" i="8"/>
  <c r="H413" i="8" s="1"/>
  <c r="J413" i="8" s="1"/>
  <c r="G412" i="8"/>
  <c r="H412" i="8" s="1"/>
  <c r="G411" i="8"/>
  <c r="G410" i="8"/>
  <c r="H410" i="8" s="1"/>
  <c r="J410" i="8" s="1"/>
  <c r="G434" i="8"/>
  <c r="G433" i="8"/>
  <c r="G432" i="8"/>
  <c r="H432" i="8" s="1"/>
  <c r="J432" i="8" s="1"/>
  <c r="G431" i="8"/>
  <c r="H431" i="8" s="1"/>
  <c r="J431" i="8" s="1"/>
  <c r="G430" i="8"/>
  <c r="G454" i="8"/>
  <c r="G453" i="8"/>
  <c r="H453" i="8" s="1"/>
  <c r="J453" i="8" s="1"/>
  <c r="G452" i="8"/>
  <c r="H452" i="8" s="1"/>
  <c r="J452" i="8" s="1"/>
  <c r="G451" i="8"/>
  <c r="G450" i="8"/>
  <c r="J156" i="8" l="1"/>
  <c r="J196" i="8"/>
  <c r="J216" i="8"/>
  <c r="J236" i="8"/>
  <c r="J256" i="8"/>
  <c r="J351" i="8"/>
  <c r="H273" i="8"/>
  <c r="J273" i="8" s="1"/>
  <c r="J272" i="8"/>
  <c r="H271" i="8"/>
  <c r="J271" i="8" s="1"/>
  <c r="H270" i="8"/>
  <c r="J270" i="8" s="1"/>
  <c r="H290" i="8"/>
  <c r="J290" i="8" s="1"/>
  <c r="H294" i="8"/>
  <c r="J294" i="8" s="1"/>
  <c r="H293" i="8"/>
  <c r="J293" i="8" s="1"/>
  <c r="H310" i="8"/>
  <c r="J310" i="8" s="1"/>
  <c r="H314" i="8"/>
  <c r="J314" i="8" s="1"/>
  <c r="H313" i="8"/>
  <c r="J313" i="8" s="1"/>
  <c r="H334" i="8"/>
  <c r="J334" i="8" s="1"/>
  <c r="H330" i="8"/>
  <c r="J330" i="8" s="1"/>
  <c r="H333" i="8"/>
  <c r="J333" i="8" s="1"/>
  <c r="H350" i="8"/>
  <c r="J350" i="8" s="1"/>
  <c r="H354" i="8"/>
  <c r="J354" i="8" s="1"/>
  <c r="H353" i="8"/>
  <c r="J353" i="8" s="1"/>
  <c r="H370" i="8"/>
  <c r="J370" i="8" s="1"/>
  <c r="H374" i="8"/>
  <c r="J374" i="8" s="1"/>
  <c r="H373" i="8"/>
  <c r="J373" i="8" s="1"/>
  <c r="H390" i="8"/>
  <c r="J390" i="8" s="1"/>
  <c r="H394" i="8"/>
  <c r="J394" i="8" s="1"/>
  <c r="H393" i="8"/>
  <c r="J393" i="8" s="1"/>
  <c r="H411" i="8"/>
  <c r="J411" i="8" s="1"/>
  <c r="J416" i="8" s="1"/>
  <c r="J412" i="8"/>
  <c r="H430" i="8"/>
  <c r="J430" i="8" s="1"/>
  <c r="H434" i="8"/>
  <c r="J434" i="8" s="1"/>
  <c r="H433" i="8"/>
  <c r="J433" i="8" s="1"/>
  <c r="H451" i="8"/>
  <c r="J451" i="8" s="1"/>
  <c r="H450" i="8"/>
  <c r="J450" i="8" s="1"/>
  <c r="H454" i="8"/>
  <c r="J454" i="8" s="1"/>
  <c r="G14" i="4"/>
  <c r="H14" i="4" s="1"/>
  <c r="G13" i="4"/>
  <c r="H13" i="4" s="1"/>
  <c r="G12" i="4"/>
  <c r="H12" i="4" s="1"/>
  <c r="G11" i="4"/>
  <c r="H11" i="4" s="1"/>
  <c r="J296" i="8" l="1"/>
  <c r="J276" i="8"/>
  <c r="J316" i="8"/>
  <c r="J336" i="8"/>
  <c r="J356" i="8"/>
  <c r="J376" i="8"/>
  <c r="J396" i="8"/>
  <c r="J436" i="8"/>
  <c r="J456" i="8"/>
  <c r="J11" i="4"/>
  <c r="J12" i="4"/>
  <c r="J13" i="4"/>
  <c r="J14" i="4"/>
  <c r="G10" i="4"/>
  <c r="H10" i="4" s="1"/>
  <c r="J10" i="4" l="1"/>
  <c r="J16" i="4" s="1"/>
</calcChain>
</file>

<file path=xl/sharedStrings.xml><?xml version="1.0" encoding="utf-8"?>
<sst xmlns="http://schemas.openxmlformats.org/spreadsheetml/2006/main" count="656" uniqueCount="115">
  <si>
    <t xml:space="preserve">Nombre Completo </t>
  </si>
  <si>
    <t xml:space="preserve">Correo </t>
  </si>
  <si>
    <t>Cédula</t>
  </si>
  <si>
    <t xml:space="preserve">Celular </t>
  </si>
  <si>
    <t>Nombre Completo</t>
  </si>
  <si>
    <t>Celular</t>
  </si>
  <si>
    <t>Servicio</t>
  </si>
  <si>
    <t xml:space="preserve">Estilista </t>
  </si>
  <si>
    <t>Precio regular</t>
  </si>
  <si>
    <t>Precio</t>
  </si>
  <si>
    <t>Manicure y Pedicure</t>
  </si>
  <si>
    <t>Depilación cejas, boso y axila</t>
  </si>
  <si>
    <t>Shampoo, Tratamiento y Blower</t>
  </si>
  <si>
    <t>Uñas Dip Powder</t>
  </si>
  <si>
    <t>Uñas acrílicas</t>
  </si>
  <si>
    <t>Cirugía Capilar</t>
  </si>
  <si>
    <t>Plancha a vapor</t>
  </si>
  <si>
    <t>Tinte, Shampoo, Tratamiento y Blower</t>
  </si>
  <si>
    <t>Cauterizaciones</t>
  </si>
  <si>
    <t>Corte de caballero</t>
  </si>
  <si>
    <t>Pedicure (Parafina o Spa)</t>
  </si>
  <si>
    <t>Tratamiento profundo y Blower</t>
  </si>
  <si>
    <t>Blower cabello corto</t>
  </si>
  <si>
    <t>Blower cabello mediano</t>
  </si>
  <si>
    <t>Blower cabello largo</t>
  </si>
  <si>
    <t>Keratina</t>
  </si>
  <si>
    <t>Perfect match para uñas</t>
  </si>
  <si>
    <t>Plancha fría</t>
  </si>
  <si>
    <t>Maquillaje</t>
  </si>
  <si>
    <t>Pestañas individuales</t>
  </si>
  <si>
    <t>Cejas semipermanentes</t>
  </si>
  <si>
    <t>Limpieza facial luminoso</t>
  </si>
  <si>
    <t>Facial con peeling</t>
  </si>
  <si>
    <t>Lavado, Tratamiento de cellula madre y Blower</t>
  </si>
  <si>
    <t>Tratamiento Celulitis 10 sesiones</t>
  </si>
  <si>
    <t>Masaje relajante + Piedras volcánicas</t>
  </si>
  <si>
    <t>Tratamiento corporal 20 sesiones + facial</t>
  </si>
  <si>
    <t>Ofertas</t>
  </si>
  <si>
    <t>Promo Aniversario: Keratina 20% desc.</t>
  </si>
  <si>
    <t>Promo Aniversario: Shampoo, Tratamiento, Blower, gratis Plancha</t>
  </si>
  <si>
    <t>Promo Aniversario: Uñas acrílicas, gratis pintura de pies</t>
  </si>
  <si>
    <t>Promo Aniversario: Pedicure (parafina o spa), gratis pintura de manos</t>
  </si>
  <si>
    <t>Promo Aniversario: Cauterización (Loreal, Midolo, Redken, Tec Italy)</t>
  </si>
  <si>
    <t>Promo Aniversario: Tratamiento Capilar Botox 20% desc.</t>
  </si>
  <si>
    <t>Promo Aniversario: Pestañas de pelo a pelo</t>
  </si>
  <si>
    <t>Promo Aniversario: Masajes relajantes 40% desc.</t>
  </si>
  <si>
    <t>Promo Aniversario: Faciales 40% desc.</t>
  </si>
  <si>
    <t xml:space="preserve">Promo Tarde de té: Pedicure, gratis pintura de manos </t>
  </si>
  <si>
    <t>Promo Tarde de té: Keratina 20% desc.</t>
  </si>
  <si>
    <t>Promo Tarde de té: Tratamiento profundo, gratis blower y plancha</t>
  </si>
  <si>
    <t>Promo Tarde de té: Pedicure Spa, gratis pintura de manos</t>
  </si>
  <si>
    <t>Promo Tarde de té: Pedicure y Manicure Parafina</t>
  </si>
  <si>
    <t>Promo Halloween: Shampoo, Tratamiento y Blower</t>
  </si>
  <si>
    <t>Promo Halloween: Pedicure y Manicure</t>
  </si>
  <si>
    <t>Promo Halloween: Cauterización Macadamia, incluye blower</t>
  </si>
  <si>
    <t>Promo: Plancha fría</t>
  </si>
  <si>
    <t>Promo: Tratamiento y Blower</t>
  </si>
  <si>
    <t>Promo del mes: Shampoo, blower y plancha</t>
  </si>
  <si>
    <t>Promo del mes: Pedicure parafina</t>
  </si>
  <si>
    <t>Promo del mes: Uñas dip powder</t>
  </si>
  <si>
    <t>Promo del mes: Corte de caballero</t>
  </si>
  <si>
    <t>Promo del mes: Blower</t>
  </si>
  <si>
    <t>Promo del mes: Pedicure</t>
  </si>
  <si>
    <t>Promo del mes: Tratamiento profundo</t>
  </si>
  <si>
    <t>Promo Black Friday: Pedicure (Parafina o Spa) 30% desc.</t>
  </si>
  <si>
    <t>Promo Black Friday: Shampoo, Tratamiento y Blower 30% desc.</t>
  </si>
  <si>
    <t>Promo Black Friday: Keratina 30% desc.</t>
  </si>
  <si>
    <t>Promo Black Friday: Uñas acrílicas 30% desc.</t>
  </si>
  <si>
    <t>Promo Black Friday: Cauterizaciones 30% desc.</t>
  </si>
  <si>
    <t>Nombre</t>
  </si>
  <si>
    <t xml:space="preserve">Trabajo general </t>
  </si>
  <si>
    <t>Gladys Serrano</t>
  </si>
  <si>
    <t xml:space="preserve">Gloria Gonzales </t>
  </si>
  <si>
    <t xml:space="preserve">Paulina Hernandez </t>
  </si>
  <si>
    <t xml:space="preserve">Lorena Frias </t>
  </si>
  <si>
    <t>Elizabeth Ortega</t>
  </si>
  <si>
    <t xml:space="preserve">Karol Guerra </t>
  </si>
  <si>
    <t xml:space="preserve">Taiyra De Naar </t>
  </si>
  <si>
    <t>Karina Arango</t>
  </si>
  <si>
    <t xml:space="preserve">Aurelia Cordoba </t>
  </si>
  <si>
    <t xml:space="preserve">Manicure y Pedicure </t>
  </si>
  <si>
    <t xml:space="preserve">Nicole Rojas </t>
  </si>
  <si>
    <t xml:space="preserve">Ana Quintero </t>
  </si>
  <si>
    <t xml:space="preserve">Sonia Barria </t>
  </si>
  <si>
    <t xml:space="preserve">Dajalma Urieta </t>
  </si>
  <si>
    <t xml:space="preserve">Dina Rodriguez </t>
  </si>
  <si>
    <t xml:space="preserve">Lavado del cabello </t>
  </si>
  <si>
    <t xml:space="preserve">Estética </t>
  </si>
  <si>
    <t xml:space="preserve">Michelle Meneses </t>
  </si>
  <si>
    <t xml:space="preserve">Yenifer Caballero </t>
  </si>
  <si>
    <t xml:space="preserve">Servicio que Brinda </t>
  </si>
  <si>
    <t xml:space="preserve">Precio </t>
  </si>
  <si>
    <t>Itbms</t>
  </si>
  <si>
    <t xml:space="preserve">Formato de pago </t>
  </si>
  <si>
    <t xml:space="preserve">Total </t>
  </si>
  <si>
    <t/>
  </si>
  <si>
    <t>Clientes</t>
  </si>
  <si>
    <t>Formatos de pago</t>
  </si>
  <si>
    <t>Efectivo</t>
  </si>
  <si>
    <t>Visa</t>
  </si>
  <si>
    <t>Clave</t>
  </si>
  <si>
    <t>MasterCard</t>
  </si>
  <si>
    <t>5-000-000</t>
  </si>
  <si>
    <t xml:space="preserve">Correo Electronico </t>
  </si>
  <si>
    <t>Yulissa Jaramillo</t>
  </si>
  <si>
    <t>Gretel Villalobos</t>
  </si>
  <si>
    <t>Fecha</t>
  </si>
  <si>
    <t>Pablo Mojica</t>
  </si>
  <si>
    <t>Paola Mojica</t>
  </si>
  <si>
    <t>6-000-000</t>
  </si>
  <si>
    <t>N° de Factura</t>
  </si>
  <si>
    <t>Tiffany Hernandez</t>
  </si>
  <si>
    <t>paolammojica@gmail.com</t>
  </si>
  <si>
    <t>6-373-7463</t>
  </si>
  <si>
    <t>29/3/2019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</si>
</sst>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B/.&quot;* #,##0.00_-;\-&quot;B/.&quot;* #,##0.00_-;_-&quot;B/.&quot;* &quot;-&quot;??_-;_-@_-"/>
    <numFmt numFmtId="164" formatCode="_-[$B/.-180A]* #,##0.00_-;\-[$B/.-180A]* #,##0.00_-;_-[$B/.-180A]* &quot;-&quot;??_-;_-@_-"/>
  </numFmts>
  <fonts count="1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4941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rgb="FFFF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11" fillId="6" borderId="10" applyNumberFormat="0" applyAlignment="0" applyProtection="0"/>
    <xf numFmtId="0" fontId="14" fillId="7" borderId="0" applyNumberFormat="0" applyBorder="0" applyAlignment="0" applyProtection="0"/>
  </cellStyleXfs>
  <cellXfs count="80">
    <xf numFmtId="0" fontId="0" fillId="0" borderId="0" xfId="0"/>
    <xf numFmtId="0" fontId="1" fillId="0" borderId="0" xfId="0" applyFont="1" applyBorder="1" applyAlignment="1"/>
    <xf numFmtId="0" fontId="2" fillId="0" borderId="0" xfId="0" applyFont="1" applyBorder="1"/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/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0" fillId="0" borderId="0" xfId="0" applyBorder="1"/>
    <xf numFmtId="0" fontId="2" fillId="5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7" fillId="4" borderId="1" xfId="0" applyFont="1" applyFill="1" applyBorder="1"/>
    <xf numFmtId="0" fontId="7" fillId="0" borderId="0" xfId="0" applyFont="1" applyFill="1" applyBorder="1"/>
    <xf numFmtId="0" fontId="2" fillId="0" borderId="0" xfId="0" applyFont="1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8" xfId="0" applyFont="1" applyBorder="1" applyAlignment="1">
      <alignment vertical="center" wrapText="1"/>
    </xf>
    <xf numFmtId="0" fontId="0" fillId="0" borderId="8" xfId="0" applyFont="1" applyBorder="1"/>
    <xf numFmtId="0" fontId="0" fillId="0" borderId="8" xfId="0" applyFont="1" applyFill="1" applyBorder="1" applyAlignment="1">
      <alignment vertical="center" wrapText="1"/>
    </xf>
    <xf numFmtId="164" fontId="0" fillId="0" borderId="9" xfId="0" applyNumberFormat="1" applyFont="1" applyBorder="1" applyAlignment="1">
      <alignment horizontal="center" vertical="center" wrapText="1"/>
    </xf>
    <xf numFmtId="164" fontId="0" fillId="0" borderId="9" xfId="0" applyNumberFormat="1" applyFont="1" applyBorder="1" applyAlignment="1">
      <alignment horizontal="center"/>
    </xf>
    <xf numFmtId="164" fontId="0" fillId="0" borderId="9" xfId="0" applyNumberFormat="1" applyFont="1" applyFill="1" applyBorder="1" applyAlignment="1">
      <alignment horizontal="center" vertical="center" wrapText="1"/>
    </xf>
    <xf numFmtId="164" fontId="0" fillId="0" borderId="9" xfId="0" applyNumberFormat="1" applyBorder="1"/>
    <xf numFmtId="0" fontId="0" fillId="0" borderId="6" xfId="0" applyFont="1" applyFill="1" applyBorder="1" applyAlignment="1">
      <alignment vertical="center" wrapText="1"/>
    </xf>
    <xf numFmtId="164" fontId="0" fillId="0" borderId="7" xfId="0" applyNumberFormat="1" applyBorder="1"/>
    <xf numFmtId="0" fontId="10" fillId="3" borderId="3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0" fontId="10" fillId="4" borderId="5" xfId="0" applyFont="1" applyFill="1" applyBorder="1" applyAlignment="1">
      <alignment horizontal="center"/>
    </xf>
    <xf numFmtId="0" fontId="12" fillId="0" borderId="0" xfId="0" applyFont="1" applyAlignment="1"/>
    <xf numFmtId="0" fontId="13" fillId="6" borderId="10" xfId="3" applyFont="1" applyAlignment="1">
      <alignment horizontal="left"/>
    </xf>
    <xf numFmtId="0" fontId="13" fillId="6" borderId="10" xfId="3" applyFont="1" applyAlignment="1">
      <alignment horizontal="left" vertical="center"/>
    </xf>
    <xf numFmtId="49" fontId="3" fillId="6" borderId="10" xfId="1" applyNumberFormat="1" applyFill="1" applyBorder="1"/>
    <xf numFmtId="44" fontId="4" fillId="0" borderId="1" xfId="2" applyFont="1" applyBorder="1"/>
    <xf numFmtId="44" fontId="7" fillId="0" borderId="1" xfId="0" applyNumberFormat="1" applyFont="1" applyBorder="1"/>
    <xf numFmtId="0" fontId="8" fillId="0" borderId="11" xfId="0" applyFont="1" applyBorder="1" applyAlignment="1">
      <alignment horizontal="center" vertical="center"/>
    </xf>
    <xf numFmtId="0" fontId="8" fillId="0" borderId="0" xfId="0" applyFont="1" applyBorder="1"/>
    <xf numFmtId="44" fontId="7" fillId="0" borderId="0" xfId="0" applyNumberFormat="1" applyFont="1" applyFill="1" applyBorder="1"/>
    <xf numFmtId="0" fontId="2" fillId="0" borderId="4" xfId="0" applyFont="1" applyFill="1" applyBorder="1" applyAlignment="1"/>
    <xf numFmtId="0" fontId="2" fillId="0" borderId="12" xfId="0" applyFont="1" applyFill="1" applyBorder="1" applyAlignment="1"/>
    <xf numFmtId="0" fontId="6" fillId="0" borderId="12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2" fillId="0" borderId="13" xfId="0" applyFont="1" applyFill="1" applyBorder="1" applyAlignment="1"/>
    <xf numFmtId="0" fontId="6" fillId="0" borderId="1" xfId="0" applyFont="1" applyBorder="1" applyAlignment="1"/>
    <xf numFmtId="0" fontId="6" fillId="0" borderId="13" xfId="0" applyFont="1" applyFill="1" applyBorder="1" applyAlignment="1"/>
    <xf numFmtId="0" fontId="4" fillId="0" borderId="13" xfId="0" applyFont="1" applyBorder="1" applyAlignment="1">
      <alignment vertical="center"/>
    </xf>
    <xf numFmtId="0" fontId="4" fillId="0" borderId="1" xfId="0" applyFont="1" applyBorder="1"/>
    <xf numFmtId="0" fontId="4" fillId="0" borderId="1" xfId="0" applyFont="1" applyBorder="1" applyAlignment="1"/>
    <xf numFmtId="0" fontId="4" fillId="0" borderId="13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0" fontId="6" fillId="11" borderId="9" xfId="0" applyFont="1" applyFill="1" applyBorder="1" applyAlignment="1">
      <alignment horizontal="center"/>
    </xf>
    <xf numFmtId="164" fontId="10" fillId="11" borderId="9" xfId="0" applyNumberFormat="1" applyFont="1" applyFill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44" fontId="4" fillId="0" borderId="0" xfId="2" applyFont="1" applyBorder="1"/>
    <xf numFmtId="0" fontId="2" fillId="0" borderId="0" xfId="0" applyFont="1" applyBorder="1" applyAlignment="1"/>
    <xf numFmtId="0" fontId="6" fillId="0" borderId="0" xfId="0" applyFont="1" applyBorder="1"/>
    <xf numFmtId="0" fontId="7" fillId="4" borderId="0" xfId="0" applyFont="1" applyFill="1" applyBorder="1"/>
    <xf numFmtId="44" fontId="7" fillId="0" borderId="0" xfId="0" applyNumberFormat="1" applyFont="1" applyBorder="1"/>
    <xf numFmtId="0" fontId="2" fillId="1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9" fillId="8" borderId="1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15" fillId="7" borderId="9" xfId="4" applyFont="1" applyBorder="1" applyAlignment="1">
      <alignment horizontal="center"/>
    </xf>
    <xf numFmtId="0" fontId="15" fillId="7" borderId="8" xfId="4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</cellXfs>
  <cellStyles count="5">
    <cellStyle name="Celda de comprobación" xfId="3" builtinId="23"/>
    <cellStyle name="Hipervínculo" xfId="1" builtinId="8"/>
    <cellStyle name="Incorrecto" xfId="4" builtinId="27"/>
    <cellStyle name="Moneda" xfId="2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-[$B/.-180A]* #,##0.00_-;\-[$B/.-180A]* #,##0.00_-;_-[$B/.-180A]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CCFF"/>
      <color rgb="FFFF99CC"/>
      <color rgb="FFFF5050"/>
      <color rgb="FFCC66FF"/>
      <color rgb="FFFF6699"/>
      <color rgb="FFFF9999"/>
      <color rgb="FF9999FF"/>
      <color rgb="FFFFCC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3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jpeg"/><Relationship Id="rId1" Type="http://schemas.openxmlformats.org/officeDocument/2006/relationships/image" Target="../media/image14.jpeg"/><Relationship Id="rId6" Type="http://schemas.openxmlformats.org/officeDocument/2006/relationships/image" Target="../media/image13.jpeg"/><Relationship Id="rId5" Type="http://schemas.openxmlformats.org/officeDocument/2006/relationships/image" Target="../media/image17.jpeg"/><Relationship Id="rId4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1.emf"/><Relationship Id="rId7" Type="http://schemas.openxmlformats.org/officeDocument/2006/relationships/image" Target="../media/image6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12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10</xdr:row>
      <xdr:rowOff>142875</xdr:rowOff>
    </xdr:from>
    <xdr:to>
      <xdr:col>7</xdr:col>
      <xdr:colOff>85725</xdr:colOff>
      <xdr:row>15</xdr:row>
      <xdr:rowOff>38100</xdr:rowOff>
    </xdr:to>
    <xdr:sp macro="ClienteNuevoIr_aRegristrodeClient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57525" y="2047875"/>
          <a:ext cx="2362200" cy="847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2000">
              <a:latin typeface="Berlin Sans FB Demi" panose="020E0802020502020306" pitchFamily="34" charset="0"/>
            </a:rPr>
            <a:t>CLIENTE</a:t>
          </a:r>
          <a:r>
            <a:rPr lang="es-PA" sz="2000" baseline="0">
              <a:latin typeface="Berlin Sans FB Demi" panose="020E0802020502020306" pitchFamily="34" charset="0"/>
            </a:rPr>
            <a:t> NUEVO</a:t>
          </a:r>
          <a:endParaRPr lang="es-PA" sz="2000"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8</xdr:col>
      <xdr:colOff>657225</xdr:colOff>
      <xdr:row>10</xdr:row>
      <xdr:rowOff>133350</xdr:rowOff>
    </xdr:from>
    <xdr:to>
      <xdr:col>11</xdr:col>
      <xdr:colOff>733425</xdr:colOff>
      <xdr:row>15</xdr:row>
      <xdr:rowOff>28575</xdr:rowOff>
    </xdr:to>
    <xdr:sp macro="FacturarCliente_IraRegistrodeServici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753225" y="2038350"/>
          <a:ext cx="2362200" cy="8477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2000">
              <a:latin typeface="Berlin Sans FB Demi" panose="020E0802020502020306" pitchFamily="34" charset="0"/>
            </a:rPr>
            <a:t>FACTURAR</a:t>
          </a:r>
        </a:p>
      </xdr:txBody>
    </xdr:sp>
    <xdr:clientData/>
  </xdr:twoCellAnchor>
  <xdr:twoCellAnchor editAs="oneCell">
    <xdr:from>
      <xdr:col>13</xdr:col>
      <xdr:colOff>400050</xdr:colOff>
      <xdr:row>0</xdr:row>
      <xdr:rowOff>180975</xdr:rowOff>
    </xdr:from>
    <xdr:to>
      <xdr:col>15</xdr:col>
      <xdr:colOff>704849</xdr:colOff>
      <xdr:row>10</xdr:row>
      <xdr:rowOff>102234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180975"/>
          <a:ext cx="1828799" cy="18262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1524000</xdr:colOff>
      <xdr:row>0</xdr:row>
      <xdr:rowOff>142875</xdr:rowOff>
    </xdr:from>
    <xdr:to>
      <xdr:col>8</xdr:col>
      <xdr:colOff>152400</xdr:colOff>
      <xdr:row>5</xdr:row>
      <xdr:rowOff>38100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00675" y="142875"/>
          <a:ext cx="2505075" cy="8477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2000" baseline="0">
              <a:latin typeface="Berlin Sans FB Demi" panose="020E0802020502020306" pitchFamily="34" charset="0"/>
            </a:rPr>
            <a:t>REGISTRO DE CLIENTES</a:t>
          </a:r>
          <a:endParaRPr lang="es-PA" sz="2000"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5</xdr:col>
      <xdr:colOff>2190750</xdr:colOff>
      <xdr:row>14</xdr:row>
      <xdr:rowOff>104775</xdr:rowOff>
    </xdr:from>
    <xdr:to>
      <xdr:col>7</xdr:col>
      <xdr:colOff>342900</xdr:colOff>
      <xdr:row>17</xdr:row>
      <xdr:rowOff>95250</xdr:rowOff>
    </xdr:to>
    <xdr:sp macro="[0]!RegistrodeClienteNuev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67425" y="2924175"/>
          <a:ext cx="1266825" cy="561975"/>
        </a:xfrm>
        <a:prstGeom prst="roundRect">
          <a:avLst/>
        </a:prstGeom>
        <a:solidFill>
          <a:srgbClr val="CC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600">
              <a:solidFill>
                <a:sysClr val="windowText" lastClr="000000"/>
              </a:solidFill>
              <a:latin typeface="Berlin Sans FB Demi" panose="020E0802020502020306" pitchFamily="34" charset="0"/>
            </a:rPr>
            <a:t>GUARDAR</a:t>
          </a:r>
        </a:p>
      </xdr:txBody>
    </xdr:sp>
    <xdr:clientData/>
  </xdr:twoCellAnchor>
  <xdr:twoCellAnchor>
    <xdr:from>
      <xdr:col>8</xdr:col>
      <xdr:colOff>228600</xdr:colOff>
      <xdr:row>14</xdr:row>
      <xdr:rowOff>95250</xdr:rowOff>
    </xdr:from>
    <xdr:to>
      <xdr:col>8</xdr:col>
      <xdr:colOff>1495425</xdr:colOff>
      <xdr:row>17</xdr:row>
      <xdr:rowOff>85725</xdr:rowOff>
    </xdr:to>
    <xdr:sp macro="[0]!LimpiarRegistroClienteNuev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981950" y="2914650"/>
          <a:ext cx="1266825" cy="561975"/>
        </a:xfrm>
        <a:prstGeom prst="roundRect">
          <a:avLst/>
        </a:prstGeom>
        <a:solidFill>
          <a:srgbClr val="CC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600">
              <a:solidFill>
                <a:sysClr val="windowText" lastClr="000000"/>
              </a:solidFill>
              <a:latin typeface="Berlin Sans FB Demi" panose="020E0802020502020306" pitchFamily="34" charset="0"/>
            </a:rPr>
            <a:t>LIMPIAR</a:t>
          </a:r>
        </a:p>
      </xdr:txBody>
    </xdr:sp>
    <xdr:clientData/>
  </xdr:twoCellAnchor>
  <xdr:twoCellAnchor>
    <xdr:from>
      <xdr:col>0</xdr:col>
      <xdr:colOff>461433</xdr:colOff>
      <xdr:row>1</xdr:row>
      <xdr:rowOff>44452</xdr:rowOff>
    </xdr:from>
    <xdr:to>
      <xdr:col>2</xdr:col>
      <xdr:colOff>486833</xdr:colOff>
      <xdr:row>7</xdr:row>
      <xdr:rowOff>63500</xdr:rowOff>
    </xdr:to>
    <xdr:sp macro="RegistrodeClientes_IraPáginaPrincipal" textlink="">
      <xdr:nvSpPr>
        <xdr:cNvPr id="9" name="Flecha: hacia la izquierda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61433" y="234952"/>
          <a:ext cx="1549400" cy="1162048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400">
              <a:solidFill>
                <a:sysClr val="windowText" lastClr="000000"/>
              </a:solidFill>
              <a:latin typeface="Berlin Sans FB Demi" panose="020E0802020502020306" pitchFamily="34" charset="0"/>
            </a:rPr>
            <a:t>PÁGINA</a:t>
          </a:r>
          <a:r>
            <a:rPr lang="es-PA" sz="1400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PRINCIPAL</a:t>
          </a:r>
          <a:endParaRPr lang="es-PA" sz="1400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5</xdr:col>
      <xdr:colOff>359834</xdr:colOff>
      <xdr:row>14</xdr:row>
      <xdr:rowOff>105835</xdr:rowOff>
    </xdr:from>
    <xdr:to>
      <xdr:col>5</xdr:col>
      <xdr:colOff>1555750</xdr:colOff>
      <xdr:row>17</xdr:row>
      <xdr:rowOff>116418</xdr:rowOff>
    </xdr:to>
    <xdr:sp macro="[0]!EliminarRegistroClienteNue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33334" y="2921002"/>
          <a:ext cx="1195916" cy="582083"/>
        </a:xfrm>
        <a:prstGeom prst="roundRect">
          <a:avLst/>
        </a:prstGeom>
        <a:solidFill>
          <a:srgbClr val="CC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600">
              <a:solidFill>
                <a:sysClr val="windowText" lastClr="000000"/>
              </a:solidFill>
              <a:latin typeface="Berlin Sans FB Demi" panose="020E0802020502020306" pitchFamily="34" charset="0"/>
            </a:rPr>
            <a:t>ELIMINAR</a:t>
          </a:r>
        </a:p>
      </xdr:txBody>
    </xdr:sp>
    <xdr:clientData/>
  </xdr:twoCellAnchor>
  <xdr:twoCellAnchor>
    <xdr:from>
      <xdr:col>10</xdr:col>
      <xdr:colOff>402166</xdr:colOff>
      <xdr:row>1</xdr:row>
      <xdr:rowOff>21166</xdr:rowOff>
    </xdr:from>
    <xdr:to>
      <xdr:col>12</xdr:col>
      <xdr:colOff>560916</xdr:colOff>
      <xdr:row>7</xdr:row>
      <xdr:rowOff>21167</xdr:rowOff>
    </xdr:to>
    <xdr:sp macro="RegistrodeClientes_IraFacturaRegistrodeServicios" textlink="">
      <xdr:nvSpPr>
        <xdr:cNvPr id="3" name="Flecha: a la der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08833" y="211666"/>
          <a:ext cx="1682750" cy="1143001"/>
        </a:xfrm>
        <a:prstGeom prst="rightArrow">
          <a:avLst/>
        </a:prstGeom>
        <a:solidFill>
          <a:srgbClr val="FF99CC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800">
              <a:solidFill>
                <a:sysClr val="windowText" lastClr="000000"/>
              </a:solidFill>
              <a:latin typeface="Berlin Sans FB Demi" panose="020E0802020502020306" pitchFamily="34" charset="0"/>
            </a:rPr>
            <a:t>FACTURAR</a:t>
          </a:r>
        </a:p>
      </xdr:txBody>
    </xdr:sp>
    <xdr:clientData/>
  </xdr:twoCellAnchor>
  <xdr:twoCellAnchor>
    <xdr:from>
      <xdr:col>10</xdr:col>
      <xdr:colOff>539749</xdr:colOff>
      <xdr:row>15</xdr:row>
      <xdr:rowOff>190499</xdr:rowOff>
    </xdr:from>
    <xdr:to>
      <xdr:col>12</xdr:col>
      <xdr:colOff>317499</xdr:colOff>
      <xdr:row>19</xdr:row>
      <xdr:rowOff>190499</xdr:rowOff>
    </xdr:to>
    <xdr:sp macro="RegistrodeClientes_IraBDClient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1546416" y="3196166"/>
          <a:ext cx="1301750" cy="762000"/>
        </a:xfrm>
        <a:prstGeom prst="roundRect">
          <a:avLst/>
        </a:prstGeom>
        <a:solidFill>
          <a:srgbClr val="FF9999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200" b="1">
              <a:solidFill>
                <a:sysClr val="windowText" lastClr="000000"/>
              </a:solidFill>
              <a:latin typeface="Berlin Sans FB Demi" panose="020E0802020502020306" pitchFamily="34" charset="0"/>
            </a:rPr>
            <a:t>BASE</a:t>
          </a:r>
          <a:r>
            <a:rPr lang="es-PA" sz="1200" b="1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DE DATOS </a:t>
          </a:r>
        </a:p>
        <a:p>
          <a:pPr algn="ctr"/>
          <a:r>
            <a:rPr lang="es-PA" sz="1200" b="1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CLIENTES </a:t>
          </a:r>
          <a:endParaRPr lang="es-PA" sz="1200" b="1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 editAs="oneCell">
    <xdr:from>
      <xdr:col>8</xdr:col>
      <xdr:colOff>243416</xdr:colOff>
      <xdr:row>0</xdr:row>
      <xdr:rowOff>148167</xdr:rowOff>
    </xdr:from>
    <xdr:to>
      <xdr:col>8</xdr:col>
      <xdr:colOff>1153583</xdr:colOff>
      <xdr:row>5</xdr:row>
      <xdr:rowOff>104569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0416" y="148167"/>
          <a:ext cx="910167" cy="9089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261408</xdr:colOff>
      <xdr:row>21</xdr:row>
      <xdr:rowOff>26458</xdr:rowOff>
    </xdr:from>
    <xdr:to>
      <xdr:col>2</xdr:col>
      <xdr:colOff>476250</xdr:colOff>
      <xdr:row>27</xdr:row>
      <xdr:rowOff>0</xdr:rowOff>
    </xdr:to>
    <xdr:sp macro="RegistrodeServiciosIr_aPáginaPrincipal" textlink="">
      <xdr:nvSpPr>
        <xdr:cNvPr id="5" name="Flecha: hacia la izquierd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1408" y="4524375"/>
          <a:ext cx="1611842" cy="1116542"/>
        </a:xfrm>
        <a:prstGeom prst="leftArrow">
          <a:avLst/>
        </a:prstGeom>
        <a:solidFill>
          <a:srgbClr val="FF99CC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600">
              <a:solidFill>
                <a:sysClr val="windowText" lastClr="000000"/>
              </a:solidFill>
              <a:latin typeface="Berlin Sans FB Demi" panose="020E0802020502020306" pitchFamily="34" charset="0"/>
            </a:rPr>
            <a:t>PÁGINA</a:t>
          </a:r>
          <a:r>
            <a:rPr lang="es-PA" sz="1600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PRINCIPAL</a:t>
          </a:r>
          <a:endParaRPr lang="es-PA" sz="1600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4</xdr:col>
      <xdr:colOff>609600</xdr:colOff>
      <xdr:row>1</xdr:row>
      <xdr:rowOff>114300</xdr:rowOff>
    </xdr:from>
    <xdr:to>
      <xdr:col>8</xdr:col>
      <xdr:colOff>47625</xdr:colOff>
      <xdr:row>5</xdr:row>
      <xdr:rowOff>123826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00500" y="304800"/>
          <a:ext cx="39433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19050</xdr:rowOff>
        </xdr:from>
        <xdr:to>
          <xdr:col>4</xdr:col>
          <xdr:colOff>3343275</xdr:colOff>
          <xdr:row>10</xdr:row>
          <xdr:rowOff>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9525</xdr:rowOff>
        </xdr:from>
        <xdr:to>
          <xdr:col>6</xdr:col>
          <xdr:colOff>9525</xdr:colOff>
          <xdr:row>10</xdr:row>
          <xdr:rowOff>0</xdr:rowOff>
        </xdr:to>
        <xdr:sp macro="" textlink="">
          <xdr:nvSpPr>
            <xdr:cNvPr id="3074" name="ComboBox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3333750</xdr:colOff>
          <xdr:row>10</xdr:row>
          <xdr:rowOff>247650</xdr:rowOff>
        </xdr:to>
        <xdr:sp macro="" textlink="">
          <xdr:nvSpPr>
            <xdr:cNvPr id="3075" name="ComboBox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11</xdr:row>
          <xdr:rowOff>9525</xdr:rowOff>
        </xdr:from>
        <xdr:to>
          <xdr:col>9</xdr:col>
          <xdr:colOff>0</xdr:colOff>
          <xdr:row>12</xdr:row>
          <xdr:rowOff>9525</xdr:rowOff>
        </xdr:to>
        <xdr:sp macro="" textlink="">
          <xdr:nvSpPr>
            <xdr:cNvPr id="3076" name="ComboBox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3343275</xdr:colOff>
          <xdr:row>11</xdr:row>
          <xdr:rowOff>247650</xdr:rowOff>
        </xdr:to>
        <xdr:sp macro="" textlink="">
          <xdr:nvSpPr>
            <xdr:cNvPr id="3077" name="ComboBox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5</xdr:col>
          <xdr:colOff>9525</xdr:colOff>
          <xdr:row>13</xdr:row>
          <xdr:rowOff>0</xdr:rowOff>
        </xdr:to>
        <xdr:sp macro="" textlink="">
          <xdr:nvSpPr>
            <xdr:cNvPr id="3078" name="ComboBox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5</xdr:col>
          <xdr:colOff>9525</xdr:colOff>
          <xdr:row>14</xdr:row>
          <xdr:rowOff>0</xdr:rowOff>
        </xdr:to>
        <xdr:sp macro="" textlink="">
          <xdr:nvSpPr>
            <xdr:cNvPr id="3079" name="ComboBox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9525</xdr:colOff>
          <xdr:row>11</xdr:row>
          <xdr:rowOff>0</xdr:rowOff>
        </xdr:to>
        <xdr:sp macro="" textlink="">
          <xdr:nvSpPr>
            <xdr:cNvPr id="3081" name="ComboBox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6</xdr:col>
          <xdr:colOff>9525</xdr:colOff>
          <xdr:row>12</xdr:row>
          <xdr:rowOff>0</xdr:rowOff>
        </xdr:to>
        <xdr:sp macro="" textlink="">
          <xdr:nvSpPr>
            <xdr:cNvPr id="3082" name="ComboBox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0</xdr:rowOff>
        </xdr:from>
        <xdr:to>
          <xdr:col>6</xdr:col>
          <xdr:colOff>19050</xdr:colOff>
          <xdr:row>13</xdr:row>
          <xdr:rowOff>257175</xdr:rowOff>
        </xdr:to>
        <xdr:sp macro="" textlink="">
          <xdr:nvSpPr>
            <xdr:cNvPr id="3083" name="ComboBox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19050</xdr:colOff>
          <xdr:row>13</xdr:row>
          <xdr:rowOff>9525</xdr:rowOff>
        </xdr:to>
        <xdr:sp macro="" textlink="">
          <xdr:nvSpPr>
            <xdr:cNvPr id="3084" name="ComboBox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10</xdr:row>
          <xdr:rowOff>200025</xdr:rowOff>
        </xdr:from>
        <xdr:to>
          <xdr:col>4</xdr:col>
          <xdr:colOff>0</xdr:colOff>
          <xdr:row>12</xdr:row>
          <xdr:rowOff>38100</xdr:rowOff>
        </xdr:to>
        <xdr:sp macro="" textlink="">
          <xdr:nvSpPr>
            <xdr:cNvPr id="3086" name="ComboBox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214826</xdr:colOff>
      <xdr:row>1</xdr:row>
      <xdr:rowOff>127000</xdr:rowOff>
    </xdr:from>
    <xdr:to>
      <xdr:col>7</xdr:col>
      <xdr:colOff>996043</xdr:colOff>
      <xdr:row>5</xdr:row>
      <xdr:rowOff>137583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4826" y="317500"/>
          <a:ext cx="773658" cy="772583"/>
        </a:xfrm>
        <a:prstGeom prst="rect">
          <a:avLst/>
        </a:prstGeom>
      </xdr:spPr>
    </xdr:pic>
    <xdr:clientData/>
  </xdr:twoCellAnchor>
  <xdr:twoCellAnchor>
    <xdr:from>
      <xdr:col>3</xdr:col>
      <xdr:colOff>222250</xdr:colOff>
      <xdr:row>22</xdr:row>
      <xdr:rowOff>31750</xdr:rowOff>
    </xdr:from>
    <xdr:to>
      <xdr:col>3</xdr:col>
      <xdr:colOff>1524000</xdr:colOff>
      <xdr:row>26</xdr:row>
      <xdr:rowOff>31750</xdr:rowOff>
    </xdr:to>
    <xdr:sp macro="RegistrodeServicios_IraBDClient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48417" y="4720167"/>
          <a:ext cx="1301750" cy="762000"/>
        </a:xfrm>
        <a:prstGeom prst="roundRect">
          <a:avLst/>
        </a:prstGeom>
        <a:solidFill>
          <a:srgbClr val="FF9999"/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200" b="1">
              <a:solidFill>
                <a:sysClr val="windowText" lastClr="000000"/>
              </a:solidFill>
              <a:latin typeface="Berlin Sans FB Demi" panose="020E0802020502020306" pitchFamily="34" charset="0"/>
            </a:rPr>
            <a:t>BASE</a:t>
          </a:r>
          <a:r>
            <a:rPr lang="es-PA" sz="1200" b="1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DE DATOS </a:t>
          </a:r>
        </a:p>
        <a:p>
          <a:pPr algn="ctr"/>
          <a:r>
            <a:rPr lang="es-PA" sz="1200" b="1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CLIENTES </a:t>
          </a:r>
          <a:endParaRPr lang="es-PA" sz="1200" b="1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3</xdr:col>
      <xdr:colOff>1672167</xdr:colOff>
      <xdr:row>22</xdr:row>
      <xdr:rowOff>31749</xdr:rowOff>
    </xdr:from>
    <xdr:to>
      <xdr:col>4</xdr:col>
      <xdr:colOff>1270000</xdr:colOff>
      <xdr:row>26</xdr:row>
      <xdr:rowOff>52916</xdr:rowOff>
    </xdr:to>
    <xdr:sp macro="RegistroServicios_IrBDPreciosServic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598334" y="4720166"/>
          <a:ext cx="1280583" cy="783167"/>
        </a:xfrm>
        <a:prstGeom prst="roundRect">
          <a:avLst/>
        </a:prstGeom>
        <a:solidFill>
          <a:srgbClr val="9999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100">
              <a:solidFill>
                <a:sysClr val="windowText" lastClr="000000"/>
              </a:solidFill>
              <a:latin typeface="Berlin Sans FB Demi" panose="020E0802020502020306" pitchFamily="34" charset="0"/>
            </a:rPr>
            <a:t>BASE DE DATOS PRECIOS-SERVICIOS</a:t>
          </a:r>
        </a:p>
      </xdr:txBody>
    </xdr:sp>
    <xdr:clientData/>
  </xdr:twoCellAnchor>
  <xdr:twoCellAnchor>
    <xdr:from>
      <xdr:col>4</xdr:col>
      <xdr:colOff>1496484</xdr:colOff>
      <xdr:row>22</xdr:row>
      <xdr:rowOff>35982</xdr:rowOff>
    </xdr:from>
    <xdr:to>
      <xdr:col>4</xdr:col>
      <xdr:colOff>2777067</xdr:colOff>
      <xdr:row>26</xdr:row>
      <xdr:rowOff>57149</xdr:rowOff>
    </xdr:to>
    <xdr:sp macro="RegistrosServicios_IrBDestilista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105401" y="4724399"/>
          <a:ext cx="1280583" cy="783167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200">
              <a:solidFill>
                <a:sysClr val="windowText" lastClr="000000"/>
              </a:solidFill>
              <a:latin typeface="Berlin Sans FB Demi" panose="020E0802020502020306" pitchFamily="34" charset="0"/>
            </a:rPr>
            <a:t>BASE DE DATOS ESTILISTAS</a:t>
          </a:r>
        </a:p>
      </xdr:txBody>
    </xdr:sp>
    <xdr:clientData/>
  </xdr:twoCellAnchor>
  <xdr:twoCellAnchor editAs="oneCell">
    <xdr:from>
      <xdr:col>4</xdr:col>
      <xdr:colOff>589476</xdr:colOff>
      <xdr:row>1</xdr:row>
      <xdr:rowOff>110067</xdr:rowOff>
    </xdr:from>
    <xdr:to>
      <xdr:col>4</xdr:col>
      <xdr:colOff>1363134</xdr:colOff>
      <xdr:row>5</xdr:row>
      <xdr:rowOff>120650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8393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6</xdr:col>
      <xdr:colOff>211667</xdr:colOff>
      <xdr:row>22</xdr:row>
      <xdr:rowOff>137583</xdr:rowOff>
    </xdr:from>
    <xdr:to>
      <xdr:col>8</xdr:col>
      <xdr:colOff>264584</xdr:colOff>
      <xdr:row>25</xdr:row>
      <xdr:rowOff>84666</xdr:rowOff>
    </xdr:to>
    <xdr:sp macro="Imprimi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482667" y="4826000"/>
          <a:ext cx="1873250" cy="518583"/>
        </a:xfrm>
        <a:prstGeom prst="roundRect">
          <a:avLst/>
        </a:prstGeom>
        <a:solidFill>
          <a:srgbClr val="FF5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2000">
              <a:solidFill>
                <a:sysClr val="windowText" lastClr="000000"/>
              </a:solidFill>
              <a:latin typeface="Berlin Sans FB Demi" panose="020E0802020502020306" pitchFamily="34" charset="0"/>
            </a:rPr>
            <a:t>IMPRIMIR</a:t>
          </a:r>
        </a:p>
      </xdr:txBody>
    </xdr:sp>
    <xdr:clientData/>
  </xdr:twoCellAnchor>
  <xdr:twoCellAnchor>
    <xdr:from>
      <xdr:col>5</xdr:col>
      <xdr:colOff>529167</xdr:colOff>
      <xdr:row>22</xdr:row>
      <xdr:rowOff>148166</xdr:rowOff>
    </xdr:from>
    <xdr:to>
      <xdr:col>5</xdr:col>
      <xdr:colOff>2222500</xdr:colOff>
      <xdr:row>25</xdr:row>
      <xdr:rowOff>84666</xdr:rowOff>
    </xdr:to>
    <xdr:sp macro="[0]!Guardar_Factur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93000" y="4836583"/>
          <a:ext cx="1693333" cy="508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200">
              <a:solidFill>
                <a:sysClr val="windowText" lastClr="000000"/>
              </a:solidFill>
              <a:latin typeface="Berlin Sans FB Demi" panose="020E0802020502020306" pitchFamily="34" charset="0"/>
            </a:rPr>
            <a:t>GUARDAR</a:t>
          </a:r>
          <a:r>
            <a:rPr lang="es-PA" sz="1200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FACTURA </a:t>
          </a:r>
          <a:endParaRPr lang="es-PA" sz="1200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8</xdr:col>
      <xdr:colOff>639350</xdr:colOff>
      <xdr:row>22</xdr:row>
      <xdr:rowOff>130480</xdr:rowOff>
    </xdr:from>
    <xdr:to>
      <xdr:col>10</xdr:col>
      <xdr:colOff>300103</xdr:colOff>
      <xdr:row>25</xdr:row>
      <xdr:rowOff>78287</xdr:rowOff>
    </xdr:to>
    <xdr:sp macro="FacturasGuarda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730103" y="4840788"/>
          <a:ext cx="2035479" cy="53496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200">
              <a:solidFill>
                <a:sysClr val="windowText" lastClr="000000"/>
              </a:solidFill>
              <a:latin typeface="Berlin Sans FB Demi" panose="020E0802020502020306" pitchFamily="34" charset="0"/>
            </a:rPr>
            <a:t>FACTURAS</a:t>
          </a:r>
          <a:r>
            <a:rPr lang="es-PA" sz="1200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GUARDADAS</a:t>
          </a:r>
          <a:endParaRPr lang="es-PA" sz="1200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523874</xdr:colOff>
      <xdr:row>4</xdr:row>
      <xdr:rowOff>0</xdr:rowOff>
    </xdr:from>
    <xdr:to>
      <xdr:col>9</xdr:col>
      <xdr:colOff>219075</xdr:colOff>
      <xdr:row>7</xdr:row>
      <xdr:rowOff>104775</xdr:rowOff>
    </xdr:to>
    <xdr:sp macro="BDdeClientes_IraPágin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687049" y="1714499"/>
          <a:ext cx="1219201" cy="676276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400">
              <a:solidFill>
                <a:sysClr val="windowText" lastClr="000000"/>
              </a:solidFill>
              <a:latin typeface="Berlin Sans FB Demi" panose="020E0802020502020306" pitchFamily="34" charset="0"/>
            </a:rPr>
            <a:t>PÁGINA</a:t>
          </a:r>
          <a:r>
            <a:rPr lang="es-PA" sz="1400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PRINCIPAL </a:t>
          </a:r>
          <a:endParaRPr lang="es-PA" sz="1400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5</xdr:col>
      <xdr:colOff>609599</xdr:colOff>
      <xdr:row>3</xdr:row>
      <xdr:rowOff>85725</xdr:rowOff>
    </xdr:from>
    <xdr:to>
      <xdr:col>7</xdr:col>
      <xdr:colOff>409574</xdr:colOff>
      <xdr:row>7</xdr:row>
      <xdr:rowOff>85724</xdr:rowOff>
    </xdr:to>
    <xdr:sp macro="BDdeClientes_IraRegistrodeServicios" textlink="">
      <xdr:nvSpPr>
        <xdr:cNvPr id="4" name="Flecha: a la derecha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248774" y="657225"/>
          <a:ext cx="1323975" cy="761999"/>
        </a:xfrm>
        <a:prstGeom prst="rightArrow">
          <a:avLst/>
        </a:prstGeom>
        <a:solidFill>
          <a:srgbClr val="FF99CC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400">
              <a:solidFill>
                <a:sysClr val="windowText" lastClr="000000"/>
              </a:solidFill>
              <a:latin typeface="Berlin Sans FB Demi" panose="020E0802020502020306" pitchFamily="34" charset="0"/>
            </a:rPr>
            <a:t>FACTURAR</a:t>
          </a:r>
        </a:p>
      </xdr:txBody>
    </xdr:sp>
    <xdr:clientData/>
  </xdr:twoCellAnchor>
  <xdr:twoCellAnchor>
    <xdr:from>
      <xdr:col>5</xdr:col>
      <xdr:colOff>581025</xdr:colOff>
      <xdr:row>8</xdr:row>
      <xdr:rowOff>123825</xdr:rowOff>
    </xdr:from>
    <xdr:to>
      <xdr:col>7</xdr:col>
      <xdr:colOff>276225</xdr:colOff>
      <xdr:row>12</xdr:row>
      <xdr:rowOff>9525</xdr:rowOff>
    </xdr:to>
    <xdr:sp macro="BDdeClientes_IraRegistrodeCliente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220200" y="2219325"/>
          <a:ext cx="1219200" cy="647700"/>
        </a:xfrm>
        <a:prstGeom prst="roundRect">
          <a:avLst/>
        </a:prstGeom>
        <a:solidFill>
          <a:srgbClr val="FF9999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200">
              <a:solidFill>
                <a:sysClr val="windowText" lastClr="000000"/>
              </a:solidFill>
              <a:latin typeface="Berlin Sans FB Demi" panose="020E0802020502020306" pitchFamily="34" charset="0"/>
            </a:rPr>
            <a:t>REGISTRO DE CLIENTES</a:t>
          </a:r>
        </a:p>
      </xdr:txBody>
    </xdr:sp>
    <xdr:clientData/>
  </xdr:twoCellAnchor>
  <xdr:twoCellAnchor>
    <xdr:from>
      <xdr:col>5</xdr:col>
      <xdr:colOff>619126</xdr:colOff>
      <xdr:row>13</xdr:row>
      <xdr:rowOff>57150</xdr:rowOff>
    </xdr:from>
    <xdr:to>
      <xdr:col>7</xdr:col>
      <xdr:colOff>304800</xdr:colOff>
      <xdr:row>17</xdr:row>
      <xdr:rowOff>19050</xdr:rowOff>
    </xdr:to>
    <xdr:sp macro="BDClientes_IraBDEstilist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258301" y="3105150"/>
          <a:ext cx="1209674" cy="723900"/>
        </a:xfrm>
        <a:prstGeom prst="roundRect">
          <a:avLst/>
        </a:prstGeom>
        <a:solidFill>
          <a:srgbClr val="44546A">
            <a:lumMod val="60000"/>
            <a:lumOff val="40000"/>
          </a:srgbClr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A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erlin Sans FB Demi" panose="020E0802020502020306" pitchFamily="34" charset="0"/>
              <a:ea typeface="+mn-ea"/>
              <a:cs typeface="+mn-cs"/>
            </a:rPr>
            <a:t>BASE DE DATOS ESTILISTAS</a:t>
          </a:r>
        </a:p>
      </xdr:txBody>
    </xdr:sp>
    <xdr:clientData/>
  </xdr:twoCellAnchor>
  <xdr:twoCellAnchor>
    <xdr:from>
      <xdr:col>7</xdr:col>
      <xdr:colOff>552450</xdr:colOff>
      <xdr:row>10</xdr:row>
      <xdr:rowOff>47625</xdr:rowOff>
    </xdr:from>
    <xdr:to>
      <xdr:col>9</xdr:col>
      <xdr:colOff>309033</xdr:colOff>
      <xdr:row>14</xdr:row>
      <xdr:rowOff>68792</xdr:rowOff>
    </xdr:to>
    <xdr:sp macro="BDclientes_IraBDPrecios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0715625" y="2524125"/>
          <a:ext cx="1280583" cy="783167"/>
        </a:xfrm>
        <a:prstGeom prst="roundRect">
          <a:avLst/>
        </a:prstGeom>
        <a:solidFill>
          <a:srgbClr val="9999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100">
              <a:solidFill>
                <a:sysClr val="windowText" lastClr="000000"/>
              </a:solidFill>
              <a:latin typeface="Berlin Sans FB Demi" panose="020E0802020502020306" pitchFamily="34" charset="0"/>
            </a:rPr>
            <a:t>BASE DE DATOS PRECIOS-SERVICIOS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5</xdr:row>
      <xdr:rowOff>19050</xdr:rowOff>
    </xdr:from>
    <xdr:to>
      <xdr:col>5</xdr:col>
      <xdr:colOff>85725</xdr:colOff>
      <xdr:row>8</xdr:row>
      <xdr:rowOff>161925</xdr:rowOff>
    </xdr:to>
    <xdr:sp macro="BDPreciosServicios_IraPágin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000625" y="971550"/>
          <a:ext cx="1228725" cy="714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400">
              <a:solidFill>
                <a:sysClr val="windowText" lastClr="000000"/>
              </a:solidFill>
              <a:latin typeface="Berlin Sans FB Demi" panose="020E0802020502020306" pitchFamily="34" charset="0"/>
            </a:rPr>
            <a:t>PÁGINA</a:t>
          </a:r>
          <a:r>
            <a:rPr lang="es-PA" sz="1400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PRINCIPAL </a:t>
          </a:r>
          <a:endParaRPr lang="es-PA" sz="1400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5</xdr:row>
      <xdr:rowOff>180975</xdr:rowOff>
    </xdr:from>
    <xdr:to>
      <xdr:col>3</xdr:col>
      <xdr:colOff>742950</xdr:colOff>
      <xdr:row>9</xdr:row>
      <xdr:rowOff>133350</xdr:rowOff>
    </xdr:to>
    <xdr:sp macro="BDEstilistas_IraPágin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33750" y="942975"/>
          <a:ext cx="1228725" cy="714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400">
              <a:solidFill>
                <a:sysClr val="windowText" lastClr="000000"/>
              </a:solidFill>
              <a:latin typeface="Berlin Sans FB Demi" panose="020E0802020502020306" pitchFamily="34" charset="0"/>
            </a:rPr>
            <a:t>PÁGINA</a:t>
          </a:r>
          <a:r>
            <a:rPr lang="es-PA" sz="1400" baseline="0">
              <a:solidFill>
                <a:sysClr val="windowText" lastClr="000000"/>
              </a:solidFill>
              <a:latin typeface="Berlin Sans FB Demi" panose="020E0802020502020306" pitchFamily="34" charset="0"/>
            </a:rPr>
            <a:t> PRINCIPAL </a:t>
          </a:r>
          <a:endParaRPr lang="es-PA" sz="1400">
            <a:solidFill>
              <a:sysClr val="windowText" lastClr="000000"/>
            </a:solidFill>
            <a:latin typeface="Berlin Sans FB Demi" panose="020E0802020502020306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450</xdr:row>
      <xdr:rowOff>114300</xdr:rowOff>
    </xdr:from>
    <xdr:to>
      <xdr:col>8</xdr:col>
      <xdr:colOff>47625</xdr:colOff>
      <xdr:row>454</xdr:row>
      <xdr:rowOff>123826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450</xdr:row>
      <xdr:rowOff>127000</xdr:rowOff>
    </xdr:from>
    <xdr:to>
      <xdr:col>8</xdr:col>
      <xdr:colOff>146958</xdr:colOff>
      <xdr:row>454</xdr:row>
      <xdr:rowOff>15118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450</xdr:row>
      <xdr:rowOff>110067</xdr:rowOff>
    </xdr:from>
    <xdr:to>
      <xdr:col>4</xdr:col>
      <xdr:colOff>1363134</xdr:colOff>
      <xdr:row>454</xdr:row>
      <xdr:rowOff>3288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441</xdr:row>
      <xdr:rowOff>114300</xdr:rowOff>
    </xdr:from>
    <xdr:to>
      <xdr:col>8</xdr:col>
      <xdr:colOff>47625</xdr:colOff>
      <xdr:row>445</xdr:row>
      <xdr:rowOff>123826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441</xdr:row>
      <xdr:rowOff>127000</xdr:rowOff>
    </xdr:from>
    <xdr:to>
      <xdr:col>8</xdr:col>
      <xdr:colOff>146958</xdr:colOff>
      <xdr:row>445</xdr:row>
      <xdr:rowOff>137583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441</xdr:row>
      <xdr:rowOff>110067</xdr:rowOff>
    </xdr:from>
    <xdr:to>
      <xdr:col>4</xdr:col>
      <xdr:colOff>1363134</xdr:colOff>
      <xdr:row>445</xdr:row>
      <xdr:rowOff>120650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421</xdr:row>
      <xdr:rowOff>114300</xdr:rowOff>
    </xdr:from>
    <xdr:to>
      <xdr:col>8</xdr:col>
      <xdr:colOff>47625</xdr:colOff>
      <xdr:row>425</xdr:row>
      <xdr:rowOff>123826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421</xdr:row>
      <xdr:rowOff>127000</xdr:rowOff>
    </xdr:from>
    <xdr:to>
      <xdr:col>8</xdr:col>
      <xdr:colOff>146958</xdr:colOff>
      <xdr:row>425</xdr:row>
      <xdr:rowOff>137583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421</xdr:row>
      <xdr:rowOff>110067</xdr:rowOff>
    </xdr:from>
    <xdr:to>
      <xdr:col>4</xdr:col>
      <xdr:colOff>1363134</xdr:colOff>
      <xdr:row>425</xdr:row>
      <xdr:rowOff>120650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401</xdr:row>
      <xdr:rowOff>114300</xdr:rowOff>
    </xdr:from>
    <xdr:to>
      <xdr:col>8</xdr:col>
      <xdr:colOff>47625</xdr:colOff>
      <xdr:row>405</xdr:row>
      <xdr:rowOff>123826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401</xdr:row>
      <xdr:rowOff>127000</xdr:rowOff>
    </xdr:from>
    <xdr:to>
      <xdr:col>8</xdr:col>
      <xdr:colOff>146958</xdr:colOff>
      <xdr:row>405</xdr:row>
      <xdr:rowOff>137583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401</xdr:row>
      <xdr:rowOff>110067</xdr:rowOff>
    </xdr:from>
    <xdr:to>
      <xdr:col>4</xdr:col>
      <xdr:colOff>1363134</xdr:colOff>
      <xdr:row>405</xdr:row>
      <xdr:rowOff>120650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381</xdr:row>
      <xdr:rowOff>114300</xdr:rowOff>
    </xdr:from>
    <xdr:to>
      <xdr:col>8</xdr:col>
      <xdr:colOff>47625</xdr:colOff>
      <xdr:row>385</xdr:row>
      <xdr:rowOff>123826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381</xdr:row>
      <xdr:rowOff>127000</xdr:rowOff>
    </xdr:from>
    <xdr:to>
      <xdr:col>8</xdr:col>
      <xdr:colOff>146958</xdr:colOff>
      <xdr:row>385</xdr:row>
      <xdr:rowOff>137583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381</xdr:row>
      <xdr:rowOff>110067</xdr:rowOff>
    </xdr:from>
    <xdr:to>
      <xdr:col>4</xdr:col>
      <xdr:colOff>1363134</xdr:colOff>
      <xdr:row>385</xdr:row>
      <xdr:rowOff>120650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361</xdr:row>
      <xdr:rowOff>114300</xdr:rowOff>
    </xdr:from>
    <xdr:to>
      <xdr:col>8</xdr:col>
      <xdr:colOff>47625</xdr:colOff>
      <xdr:row>365</xdr:row>
      <xdr:rowOff>123826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361</xdr:row>
      <xdr:rowOff>127000</xdr:rowOff>
    </xdr:from>
    <xdr:to>
      <xdr:col>8</xdr:col>
      <xdr:colOff>146958</xdr:colOff>
      <xdr:row>365</xdr:row>
      <xdr:rowOff>137583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361</xdr:row>
      <xdr:rowOff>110067</xdr:rowOff>
    </xdr:from>
    <xdr:to>
      <xdr:col>4</xdr:col>
      <xdr:colOff>1363134</xdr:colOff>
      <xdr:row>365</xdr:row>
      <xdr:rowOff>120650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341</xdr:row>
      <xdr:rowOff>114300</xdr:rowOff>
    </xdr:from>
    <xdr:to>
      <xdr:col>8</xdr:col>
      <xdr:colOff>47625</xdr:colOff>
      <xdr:row>345</xdr:row>
      <xdr:rowOff>123826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341</xdr:row>
      <xdr:rowOff>127000</xdr:rowOff>
    </xdr:from>
    <xdr:to>
      <xdr:col>8</xdr:col>
      <xdr:colOff>146958</xdr:colOff>
      <xdr:row>345</xdr:row>
      <xdr:rowOff>137583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341</xdr:row>
      <xdr:rowOff>110067</xdr:rowOff>
    </xdr:from>
    <xdr:to>
      <xdr:col>4</xdr:col>
      <xdr:colOff>1363134</xdr:colOff>
      <xdr:row>345</xdr:row>
      <xdr:rowOff>120650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321</xdr:row>
      <xdr:rowOff>114300</xdr:rowOff>
    </xdr:from>
    <xdr:to>
      <xdr:col>8</xdr:col>
      <xdr:colOff>47625</xdr:colOff>
      <xdr:row>325</xdr:row>
      <xdr:rowOff>123826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321</xdr:row>
      <xdr:rowOff>127000</xdr:rowOff>
    </xdr:from>
    <xdr:to>
      <xdr:col>8</xdr:col>
      <xdr:colOff>146958</xdr:colOff>
      <xdr:row>325</xdr:row>
      <xdr:rowOff>137583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321</xdr:row>
      <xdr:rowOff>110067</xdr:rowOff>
    </xdr:from>
    <xdr:to>
      <xdr:col>4</xdr:col>
      <xdr:colOff>1363134</xdr:colOff>
      <xdr:row>325</xdr:row>
      <xdr:rowOff>120650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301</xdr:row>
      <xdr:rowOff>114300</xdr:rowOff>
    </xdr:from>
    <xdr:to>
      <xdr:col>8</xdr:col>
      <xdr:colOff>47625</xdr:colOff>
      <xdr:row>305</xdr:row>
      <xdr:rowOff>123826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301</xdr:row>
      <xdr:rowOff>127000</xdr:rowOff>
    </xdr:from>
    <xdr:to>
      <xdr:col>8</xdr:col>
      <xdr:colOff>146958</xdr:colOff>
      <xdr:row>305</xdr:row>
      <xdr:rowOff>137583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301</xdr:row>
      <xdr:rowOff>110067</xdr:rowOff>
    </xdr:from>
    <xdr:to>
      <xdr:col>4</xdr:col>
      <xdr:colOff>1363134</xdr:colOff>
      <xdr:row>305</xdr:row>
      <xdr:rowOff>120650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281</xdr:row>
      <xdr:rowOff>114300</xdr:rowOff>
    </xdr:from>
    <xdr:to>
      <xdr:col>8</xdr:col>
      <xdr:colOff>47625</xdr:colOff>
      <xdr:row>285</xdr:row>
      <xdr:rowOff>123826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281</xdr:row>
      <xdr:rowOff>127000</xdr:rowOff>
    </xdr:from>
    <xdr:to>
      <xdr:col>8</xdr:col>
      <xdr:colOff>146958</xdr:colOff>
      <xdr:row>285</xdr:row>
      <xdr:rowOff>137583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281</xdr:row>
      <xdr:rowOff>110067</xdr:rowOff>
    </xdr:from>
    <xdr:to>
      <xdr:col>4</xdr:col>
      <xdr:colOff>1363134</xdr:colOff>
      <xdr:row>285</xdr:row>
      <xdr:rowOff>120650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261</xdr:row>
      <xdr:rowOff>114300</xdr:rowOff>
    </xdr:from>
    <xdr:to>
      <xdr:col>8</xdr:col>
      <xdr:colOff>47625</xdr:colOff>
      <xdr:row>265</xdr:row>
      <xdr:rowOff>123826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261</xdr:row>
      <xdr:rowOff>127000</xdr:rowOff>
    </xdr:from>
    <xdr:to>
      <xdr:col>8</xdr:col>
      <xdr:colOff>146958</xdr:colOff>
      <xdr:row>265</xdr:row>
      <xdr:rowOff>137583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261</xdr:row>
      <xdr:rowOff>110067</xdr:rowOff>
    </xdr:from>
    <xdr:to>
      <xdr:col>4</xdr:col>
      <xdr:colOff>1363134</xdr:colOff>
      <xdr:row>265</xdr:row>
      <xdr:rowOff>120650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241</xdr:row>
      <xdr:rowOff>114300</xdr:rowOff>
    </xdr:from>
    <xdr:to>
      <xdr:col>8</xdr:col>
      <xdr:colOff>47625</xdr:colOff>
      <xdr:row>245</xdr:row>
      <xdr:rowOff>123826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241</xdr:row>
      <xdr:rowOff>127000</xdr:rowOff>
    </xdr:from>
    <xdr:to>
      <xdr:col>8</xdr:col>
      <xdr:colOff>146958</xdr:colOff>
      <xdr:row>245</xdr:row>
      <xdr:rowOff>137583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241</xdr:row>
      <xdr:rowOff>110067</xdr:rowOff>
    </xdr:from>
    <xdr:to>
      <xdr:col>4</xdr:col>
      <xdr:colOff>1363134</xdr:colOff>
      <xdr:row>245</xdr:row>
      <xdr:rowOff>120650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221</xdr:row>
      <xdr:rowOff>114300</xdr:rowOff>
    </xdr:from>
    <xdr:to>
      <xdr:col>8</xdr:col>
      <xdr:colOff>47625</xdr:colOff>
      <xdr:row>225</xdr:row>
      <xdr:rowOff>123826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221</xdr:row>
      <xdr:rowOff>127000</xdr:rowOff>
    </xdr:from>
    <xdr:to>
      <xdr:col>8</xdr:col>
      <xdr:colOff>146958</xdr:colOff>
      <xdr:row>225</xdr:row>
      <xdr:rowOff>137583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221</xdr:row>
      <xdr:rowOff>110067</xdr:rowOff>
    </xdr:from>
    <xdr:to>
      <xdr:col>4</xdr:col>
      <xdr:colOff>1363134</xdr:colOff>
      <xdr:row>225</xdr:row>
      <xdr:rowOff>120650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201</xdr:row>
      <xdr:rowOff>114300</xdr:rowOff>
    </xdr:from>
    <xdr:to>
      <xdr:col>8</xdr:col>
      <xdr:colOff>47625</xdr:colOff>
      <xdr:row>205</xdr:row>
      <xdr:rowOff>123826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201</xdr:row>
      <xdr:rowOff>127000</xdr:rowOff>
    </xdr:from>
    <xdr:to>
      <xdr:col>8</xdr:col>
      <xdr:colOff>146958</xdr:colOff>
      <xdr:row>205</xdr:row>
      <xdr:rowOff>137583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201</xdr:row>
      <xdr:rowOff>110067</xdr:rowOff>
    </xdr:from>
    <xdr:to>
      <xdr:col>4</xdr:col>
      <xdr:colOff>1363134</xdr:colOff>
      <xdr:row>205</xdr:row>
      <xdr:rowOff>120650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181</xdr:row>
      <xdr:rowOff>114300</xdr:rowOff>
    </xdr:from>
    <xdr:to>
      <xdr:col>8</xdr:col>
      <xdr:colOff>47625</xdr:colOff>
      <xdr:row>185</xdr:row>
      <xdr:rowOff>123826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181</xdr:row>
      <xdr:rowOff>127000</xdr:rowOff>
    </xdr:from>
    <xdr:to>
      <xdr:col>8</xdr:col>
      <xdr:colOff>146958</xdr:colOff>
      <xdr:row>185</xdr:row>
      <xdr:rowOff>137583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181</xdr:row>
      <xdr:rowOff>110067</xdr:rowOff>
    </xdr:from>
    <xdr:to>
      <xdr:col>4</xdr:col>
      <xdr:colOff>1363134</xdr:colOff>
      <xdr:row>185</xdr:row>
      <xdr:rowOff>120650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161</xdr:row>
      <xdr:rowOff>114300</xdr:rowOff>
    </xdr:from>
    <xdr:to>
      <xdr:col>8</xdr:col>
      <xdr:colOff>47625</xdr:colOff>
      <xdr:row>165</xdr:row>
      <xdr:rowOff>123826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161</xdr:row>
      <xdr:rowOff>127000</xdr:rowOff>
    </xdr:from>
    <xdr:to>
      <xdr:col>8</xdr:col>
      <xdr:colOff>146958</xdr:colOff>
      <xdr:row>165</xdr:row>
      <xdr:rowOff>137583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161</xdr:row>
      <xdr:rowOff>110067</xdr:rowOff>
    </xdr:from>
    <xdr:to>
      <xdr:col>4</xdr:col>
      <xdr:colOff>1363134</xdr:colOff>
      <xdr:row>165</xdr:row>
      <xdr:rowOff>120650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141</xdr:row>
      <xdr:rowOff>114300</xdr:rowOff>
    </xdr:from>
    <xdr:to>
      <xdr:col>8</xdr:col>
      <xdr:colOff>47625</xdr:colOff>
      <xdr:row>145</xdr:row>
      <xdr:rowOff>123826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141</xdr:row>
      <xdr:rowOff>127000</xdr:rowOff>
    </xdr:from>
    <xdr:to>
      <xdr:col>8</xdr:col>
      <xdr:colOff>146958</xdr:colOff>
      <xdr:row>145</xdr:row>
      <xdr:rowOff>137583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141</xdr:row>
      <xdr:rowOff>110067</xdr:rowOff>
    </xdr:from>
    <xdr:to>
      <xdr:col>4</xdr:col>
      <xdr:colOff>1363134</xdr:colOff>
      <xdr:row>145</xdr:row>
      <xdr:rowOff>120650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121</xdr:row>
      <xdr:rowOff>114300</xdr:rowOff>
    </xdr:from>
    <xdr:to>
      <xdr:col>8</xdr:col>
      <xdr:colOff>47625</xdr:colOff>
      <xdr:row>125</xdr:row>
      <xdr:rowOff>123826</xdr:rowOff>
    </xdr:to>
    <xdr:sp macro="" textlink="">
      <xdr:nvSpPr>
        <xdr:cNvPr id="57" name="Rectángulo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>
        <a:xfrm>
          <a:off x="4219575" y="304800"/>
          <a:ext cx="691515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121</xdr:row>
      <xdr:rowOff>127000</xdr:rowOff>
    </xdr:from>
    <xdr:to>
      <xdr:col>8</xdr:col>
      <xdr:colOff>146958</xdr:colOff>
      <xdr:row>125</xdr:row>
      <xdr:rowOff>137583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75775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121</xdr:row>
      <xdr:rowOff>110067</xdr:rowOff>
    </xdr:from>
    <xdr:to>
      <xdr:col>4</xdr:col>
      <xdr:colOff>1363134</xdr:colOff>
      <xdr:row>125</xdr:row>
      <xdr:rowOff>120650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101</xdr:row>
      <xdr:rowOff>114300</xdr:rowOff>
    </xdr:from>
    <xdr:to>
      <xdr:col>8</xdr:col>
      <xdr:colOff>47625</xdr:colOff>
      <xdr:row>105</xdr:row>
      <xdr:rowOff>123826</xdr:rowOff>
    </xdr:to>
    <xdr:sp macro="" textlink="">
      <xdr:nvSpPr>
        <xdr:cNvPr id="60" name="Rectángulo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4219575" y="304800"/>
          <a:ext cx="7115175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101</xdr:row>
      <xdr:rowOff>127000</xdr:rowOff>
    </xdr:from>
    <xdr:to>
      <xdr:col>8</xdr:col>
      <xdr:colOff>152400</xdr:colOff>
      <xdr:row>105</xdr:row>
      <xdr:rowOff>137583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81217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101</xdr:row>
      <xdr:rowOff>110067</xdr:rowOff>
    </xdr:from>
    <xdr:to>
      <xdr:col>4</xdr:col>
      <xdr:colOff>1363134</xdr:colOff>
      <xdr:row>105</xdr:row>
      <xdr:rowOff>120650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81</xdr:row>
      <xdr:rowOff>114300</xdr:rowOff>
    </xdr:from>
    <xdr:to>
      <xdr:col>8</xdr:col>
      <xdr:colOff>47625</xdr:colOff>
      <xdr:row>85</xdr:row>
      <xdr:rowOff>123826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>
        <a:xfrm>
          <a:off x="4219575" y="304800"/>
          <a:ext cx="7115175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81</xdr:row>
      <xdr:rowOff>127000</xdr:rowOff>
    </xdr:from>
    <xdr:to>
      <xdr:col>8</xdr:col>
      <xdr:colOff>152400</xdr:colOff>
      <xdr:row>85</xdr:row>
      <xdr:rowOff>137583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81217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81</xdr:row>
      <xdr:rowOff>110067</xdr:rowOff>
    </xdr:from>
    <xdr:to>
      <xdr:col>4</xdr:col>
      <xdr:colOff>1363134</xdr:colOff>
      <xdr:row>85</xdr:row>
      <xdr:rowOff>120650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61</xdr:row>
      <xdr:rowOff>114300</xdr:rowOff>
    </xdr:from>
    <xdr:to>
      <xdr:col>8</xdr:col>
      <xdr:colOff>47625</xdr:colOff>
      <xdr:row>65</xdr:row>
      <xdr:rowOff>123826</xdr:rowOff>
    </xdr:to>
    <xdr:sp macro="" textlink="">
      <xdr:nvSpPr>
        <xdr:cNvPr id="66" name="Rectángul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>
        <a:xfrm>
          <a:off x="4219575" y="304800"/>
          <a:ext cx="7115175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61</xdr:row>
      <xdr:rowOff>127000</xdr:rowOff>
    </xdr:from>
    <xdr:to>
      <xdr:col>8</xdr:col>
      <xdr:colOff>152400</xdr:colOff>
      <xdr:row>65</xdr:row>
      <xdr:rowOff>137583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81217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61</xdr:row>
      <xdr:rowOff>110067</xdr:rowOff>
    </xdr:from>
    <xdr:to>
      <xdr:col>4</xdr:col>
      <xdr:colOff>1363134</xdr:colOff>
      <xdr:row>65</xdr:row>
      <xdr:rowOff>120650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41</xdr:row>
      <xdr:rowOff>114300</xdr:rowOff>
    </xdr:from>
    <xdr:to>
      <xdr:col>8</xdr:col>
      <xdr:colOff>47625</xdr:colOff>
      <xdr:row>45</xdr:row>
      <xdr:rowOff>123826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>
        <a:xfrm>
          <a:off x="4219575" y="304800"/>
          <a:ext cx="7115175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41</xdr:row>
      <xdr:rowOff>127000</xdr:rowOff>
    </xdr:from>
    <xdr:to>
      <xdr:col>8</xdr:col>
      <xdr:colOff>152400</xdr:colOff>
      <xdr:row>45</xdr:row>
      <xdr:rowOff>137583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8476" y="317500"/>
          <a:ext cx="781217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41</xdr:row>
      <xdr:rowOff>110067</xdr:rowOff>
    </xdr:from>
    <xdr:to>
      <xdr:col>4</xdr:col>
      <xdr:colOff>1363134</xdr:colOff>
      <xdr:row>45</xdr:row>
      <xdr:rowOff>120650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21</xdr:row>
      <xdr:rowOff>114300</xdr:rowOff>
    </xdr:from>
    <xdr:to>
      <xdr:col>8</xdr:col>
      <xdr:colOff>47625</xdr:colOff>
      <xdr:row>25</xdr:row>
      <xdr:rowOff>123826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>
        <a:xfrm>
          <a:off x="4219575" y="304800"/>
          <a:ext cx="716280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21</xdr:row>
      <xdr:rowOff>127000</xdr:rowOff>
    </xdr:from>
    <xdr:to>
      <xdr:col>8</xdr:col>
      <xdr:colOff>152400</xdr:colOff>
      <xdr:row>25</xdr:row>
      <xdr:rowOff>137583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6101" y="317500"/>
          <a:ext cx="781217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21</xdr:row>
      <xdr:rowOff>110067</xdr:rowOff>
    </xdr:from>
    <xdr:to>
      <xdr:col>4</xdr:col>
      <xdr:colOff>1363134</xdr:colOff>
      <xdr:row>25</xdr:row>
      <xdr:rowOff>120650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21</xdr:row>
      <xdr:rowOff>114300</xdr:rowOff>
    </xdr:from>
    <xdr:to>
      <xdr:col>8</xdr:col>
      <xdr:colOff>47625</xdr:colOff>
      <xdr:row>25</xdr:row>
      <xdr:rowOff>123826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>
        <a:xfrm>
          <a:off x="4219575" y="304800"/>
          <a:ext cx="716280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21</xdr:row>
      <xdr:rowOff>127000</xdr:rowOff>
    </xdr:from>
    <xdr:to>
      <xdr:col>8</xdr:col>
      <xdr:colOff>157843</xdr:colOff>
      <xdr:row>25</xdr:row>
      <xdr:rowOff>137583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6101" y="317500"/>
          <a:ext cx="781217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21</xdr:row>
      <xdr:rowOff>110067</xdr:rowOff>
    </xdr:from>
    <xdr:to>
      <xdr:col>4</xdr:col>
      <xdr:colOff>1363134</xdr:colOff>
      <xdr:row>25</xdr:row>
      <xdr:rowOff>120650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  <xdr:twoCellAnchor>
    <xdr:from>
      <xdr:col>4</xdr:col>
      <xdr:colOff>609600</xdr:colOff>
      <xdr:row>1</xdr:row>
      <xdr:rowOff>114300</xdr:rowOff>
    </xdr:from>
    <xdr:to>
      <xdr:col>8</xdr:col>
      <xdr:colOff>47625</xdr:colOff>
      <xdr:row>5</xdr:row>
      <xdr:rowOff>123826</xdr:rowOff>
    </xdr:to>
    <xdr:sp macro="" textlink="">
      <xdr:nvSpPr>
        <xdr:cNvPr id="78" name="Rectángulo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>
        <a:xfrm>
          <a:off x="4219575" y="304800"/>
          <a:ext cx="7162800" cy="771526"/>
        </a:xfrm>
        <a:prstGeom prst="rect">
          <a:avLst/>
        </a:prstGeom>
        <a:solidFill>
          <a:srgbClr val="FF9999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Sala de Belleza &amp; Estética Karlisa 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Condado del Rey </a:t>
          </a:r>
        </a:p>
        <a:p>
          <a:pPr algn="ctr"/>
          <a:r>
            <a:rPr lang="es-PA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Teléfono: 391-2277</a:t>
          </a:r>
        </a:p>
        <a:p>
          <a:pPr algn="ctr"/>
          <a:endParaRPr lang="es-PA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7</xdr:col>
      <xdr:colOff>214826</xdr:colOff>
      <xdr:row>1</xdr:row>
      <xdr:rowOff>127000</xdr:rowOff>
    </xdr:from>
    <xdr:to>
      <xdr:col>8</xdr:col>
      <xdr:colOff>157843</xdr:colOff>
      <xdr:row>5</xdr:row>
      <xdr:rowOff>137583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6101" y="317500"/>
          <a:ext cx="781217" cy="772583"/>
        </a:xfrm>
        <a:prstGeom prst="rect">
          <a:avLst/>
        </a:prstGeom>
      </xdr:spPr>
    </xdr:pic>
    <xdr:clientData/>
  </xdr:twoCellAnchor>
  <xdr:twoCellAnchor editAs="oneCell">
    <xdr:from>
      <xdr:col>4</xdr:col>
      <xdr:colOff>589476</xdr:colOff>
      <xdr:row>1</xdr:row>
      <xdr:rowOff>110067</xdr:rowOff>
    </xdr:from>
    <xdr:to>
      <xdr:col>4</xdr:col>
      <xdr:colOff>1363134</xdr:colOff>
      <xdr:row>5</xdr:row>
      <xdr:rowOff>120650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9451" y="300567"/>
          <a:ext cx="773658" cy="77258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76EEA4-6F40-4DCF-B43B-2FE2565BB6F9}" name="Tabla5" displayName="Tabla5" ref="A1:D7" totalsRowShown="0" headerRowDxfId="19" headerRowBorderDxfId="18" tableBorderDxfId="17" totalsRowBorderDxfId="16">
  <autoFilter ref="A1:D7" xr:uid="{5B4255FF-095C-4C7E-AF22-5CEF7A577CCA}"/>
  <tableColumns count="4">
    <tableColumn id="1" xr3:uid="{70CD417D-AE63-4313-8024-68449D1ECAFD}" name="Nombre Completo" dataDxfId="15"/>
    <tableColumn id="2" xr3:uid="{CF1B2ED1-280E-43B2-B5E3-65879A326A75}" name="Cédula" dataDxfId="14"/>
    <tableColumn id="3" xr3:uid="{9B59D4D5-AC63-4631-96CB-26B508904160}" name="Celular" dataDxfId="13"/>
    <tableColumn id="4" xr3:uid="{B93DF218-F528-4705-BAD5-23D652DF0277}" name="Correo Electronico " dataDxfId="12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F3BF16-4110-4DD5-B8B4-C7373794A0D4}" name="Precios" displayName="Precios" ref="B1:C60" totalsRowShown="0" headerRowDxfId="11" headerRowBorderDxfId="10" tableBorderDxfId="9" totalsRowBorderDxfId="8">
  <autoFilter ref="B1:C60" xr:uid="{02C17B7E-0B41-4597-BEC5-AFE75A94D438}"/>
  <tableColumns count="2">
    <tableColumn id="1" xr3:uid="{1B2F777D-24D6-4FAB-91CB-519F62F5DAA3}" name="Servicio" dataDxfId="7"/>
    <tableColumn id="2" xr3:uid="{372981DC-9939-445D-98D4-69FFD7B9B881}" name="Precio" dataDxfId="6"/>
  </tableColumns>
  <tableStyleInfo name="TableStyleDark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131FA-5B9E-44F7-99BD-C9C425E1C73D}" name="Tabla1" displayName="Tabla1" ref="A1:B18" totalsRowShown="0" headerRowDxfId="5" headerRowBorderDxfId="4" tableBorderDxfId="3" totalsRowBorderDxfId="2">
  <autoFilter ref="A1:B18" xr:uid="{0C321F7A-06AB-46F4-B1CB-1A31EB099973}"/>
  <tableColumns count="2">
    <tableColumn id="1" xr3:uid="{258BD05D-464D-47E2-A991-3CF1B6104DD9}" name="Nombre" dataDxfId="1"/>
    <tableColumn id="2" xr3:uid="{9ACF0F8C-0B7F-4ECA-87C2-E9BAE2BDACF7}" name="Servicio que Brinda 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control" Target="../activeX/activeX2.xml"/><Relationship Id="rId12" Type="http://schemas.openxmlformats.org/officeDocument/2006/relationships/image" Target="../media/image6.emf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4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2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7.xml"/><Relationship Id="rId23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Relationship Id="rId14" Type="http://schemas.openxmlformats.org/officeDocument/2006/relationships/image" Target="../media/image7.emf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.jpeg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694BE-519E-40A0-88F6-87BD1469F257}">
  <sheetPr codeName="Hoja1">
    <tabColor rgb="FF00B050"/>
  </sheetPr>
  <dimension ref="A1"/>
  <sheetViews>
    <sheetView showGridLines="0" workbookViewId="0">
      <selection activeCell="I15" sqref="I15"/>
    </sheetView>
  </sheetViews>
  <sheetFormatPr baseColWidth="10" defaultRowHeight="15" x14ac:dyDescent="0.25"/>
  <sheetData/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8DF38-4AD6-455C-80B1-B4EEE8FD3F7C}">
  <sheetPr codeName="Hoja2">
    <tabColor rgb="FFFFC000"/>
  </sheetPr>
  <dimension ref="D7:I12"/>
  <sheetViews>
    <sheetView showGridLines="0" zoomScale="90" zoomScaleNormal="90" workbookViewId="0">
      <selection activeCell="K10" sqref="K10"/>
    </sheetView>
  </sheetViews>
  <sheetFormatPr baseColWidth="10" defaultRowHeight="15" x14ac:dyDescent="0.25"/>
  <cols>
    <col min="5" max="5" width="12.42578125" customWidth="1"/>
    <col min="6" max="6" width="35.28515625" customWidth="1"/>
    <col min="9" max="9" width="37.42578125" customWidth="1"/>
  </cols>
  <sheetData>
    <row r="7" spans="4:9" ht="15.75" thickBot="1" x14ac:dyDescent="0.3"/>
    <row r="8" spans="4:9" ht="22.5" thickTop="1" thickBot="1" x14ac:dyDescent="0.4">
      <c r="D8" s="69" t="s">
        <v>0</v>
      </c>
      <c r="E8" s="70"/>
      <c r="F8" s="37"/>
      <c r="G8" s="1"/>
      <c r="H8" s="35" t="s">
        <v>1</v>
      </c>
      <c r="I8" s="38"/>
    </row>
    <row r="9" spans="4:9" ht="15.75" thickTop="1" x14ac:dyDescent="0.25"/>
    <row r="10" spans="4:9" ht="15.75" thickBot="1" x14ac:dyDescent="0.3"/>
    <row r="11" spans="4:9" ht="22.5" thickTop="1" thickBot="1" x14ac:dyDescent="0.4">
      <c r="D11" s="69" t="s">
        <v>2</v>
      </c>
      <c r="E11" s="71"/>
      <c r="F11" s="36"/>
      <c r="G11" s="1"/>
      <c r="H11" s="35" t="s">
        <v>3</v>
      </c>
      <c r="I11" s="36"/>
    </row>
    <row r="12" spans="4:9" ht="15.75" thickTop="1" x14ac:dyDescent="0.25"/>
  </sheetData>
  <mergeCells count="2">
    <mergeCell ref="D8:E8"/>
    <mergeCell ref="D11:E11"/>
  </mergeCells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4BDCB-8604-4CE4-BBB4-1AC7D9FAC445}">
  <sheetPr codeName="Hoja4">
    <tabColor rgb="FF9999FF"/>
    <pageSetUpPr fitToPage="1"/>
  </sheetPr>
  <dimension ref="C6:J18"/>
  <sheetViews>
    <sheetView showGridLines="0" zoomScale="70" zoomScaleNormal="70" workbookViewId="0">
      <selection activeCell="J8" sqref="J8"/>
    </sheetView>
  </sheetViews>
  <sheetFormatPr baseColWidth="10" defaultRowHeight="15" x14ac:dyDescent="0.25"/>
  <cols>
    <col min="2" max="2" width="9.5703125" customWidth="1"/>
    <col min="3" max="3" width="7.85546875" customWidth="1"/>
    <col min="4" max="4" width="25.28515625" customWidth="1"/>
    <col min="5" max="5" width="50.28515625" customWidth="1"/>
    <col min="6" max="6" width="34.5703125" customWidth="1"/>
    <col min="7" max="7" width="14" bestFit="1" customWidth="1"/>
    <col min="8" max="8" width="17" customWidth="1"/>
    <col min="9" max="9" width="23.140625" bestFit="1" customWidth="1"/>
    <col min="10" max="10" width="14" bestFit="1" customWidth="1"/>
  </cols>
  <sheetData>
    <row r="6" spans="3:10" ht="15.75" x14ac:dyDescent="0.25">
      <c r="D6" s="14"/>
      <c r="E6" s="14"/>
    </row>
    <row r="7" spans="3:10" ht="15.75" x14ac:dyDescent="0.25">
      <c r="D7" s="14"/>
      <c r="E7" s="14"/>
      <c r="F7" s="10"/>
      <c r="G7" s="10"/>
      <c r="H7" s="10"/>
    </row>
    <row r="8" spans="3:10" ht="18" x14ac:dyDescent="0.25">
      <c r="D8" s="56" t="s">
        <v>106</v>
      </c>
      <c r="E8" s="60" t="s">
        <v>114</v>
      </c>
      <c r="F8" s="2"/>
      <c r="G8" s="2"/>
      <c r="I8" s="67" t="s">
        <v>110</v>
      </c>
      <c r="J8" s="68">
        <v>2</v>
      </c>
    </row>
    <row r="9" spans="3:10" ht="18" x14ac:dyDescent="0.25">
      <c r="C9" s="15"/>
      <c r="D9" s="11" t="s">
        <v>96</v>
      </c>
      <c r="E9" s="11" t="s">
        <v>6</v>
      </c>
      <c r="F9" s="11" t="s">
        <v>7</v>
      </c>
      <c r="G9" s="11" t="s">
        <v>91</v>
      </c>
      <c r="H9" s="11" t="s">
        <v>92</v>
      </c>
      <c r="I9" s="11" t="s">
        <v>93</v>
      </c>
      <c r="J9" s="11" t="s">
        <v>94</v>
      </c>
    </row>
    <row r="10" spans="3:10" ht="21" customHeight="1" x14ac:dyDescent="0.25">
      <c r="C10" s="16"/>
      <c r="D10" s="46" t="s">
        <v>95</v>
      </c>
      <c r="E10" s="53" t="s">
        <v>24</v>
      </c>
      <c r="F10" s="53" t="s">
        <v>85</v>
      </c>
      <c r="G10" s="39">
        <f>IFERROR(VLOOKUP($E$10,Precios[],2,FALSE)," ")</f>
        <v>10</v>
      </c>
      <c r="H10" s="39">
        <f>IFERROR((G10*0.07)," ")</f>
        <v>0.70000000000000007</v>
      </c>
      <c r="I10" s="45"/>
      <c r="J10" s="39">
        <f>IFERROR(SUM(G10,H10)," ")</f>
        <v>10.7</v>
      </c>
    </row>
    <row r="11" spans="3:10" ht="20.25" customHeight="1" x14ac:dyDescent="0.25">
      <c r="C11" s="16"/>
      <c r="D11" s="48"/>
      <c r="E11" s="53" t="s">
        <v>15</v>
      </c>
      <c r="F11" s="53" t="s">
        <v>78</v>
      </c>
      <c r="G11" s="39">
        <f>IFERROR(VLOOKUP($E$11,Precios[],2,FALSE)," ")</f>
        <v>38</v>
      </c>
      <c r="H11" s="39">
        <f>IFERROR((G11*0.07)," ")</f>
        <v>2.66</v>
      </c>
      <c r="I11" s="49"/>
      <c r="J11" s="39">
        <f>IFERROR(SUM(G11,H11)," ")</f>
        <v>40.659999999999997</v>
      </c>
    </row>
    <row r="12" spans="3:10" ht="21" customHeight="1" x14ac:dyDescent="0.25">
      <c r="C12" s="16"/>
      <c r="D12" s="52" t="s">
        <v>108</v>
      </c>
      <c r="E12" s="54" t="s">
        <v>95</v>
      </c>
      <c r="F12" s="54" t="s">
        <v>95</v>
      </c>
      <c r="G12" s="39" t="str">
        <f>IFERROR(VLOOKUP($E$12,Precios[],2,FALSE)," ")</f>
        <v xml:space="preserve"> </v>
      </c>
      <c r="H12" s="39" t="str">
        <f>IFERROR((G12*0.07)," ")</f>
        <v xml:space="preserve"> </v>
      </c>
      <c r="I12" s="55" t="s">
        <v>100</v>
      </c>
      <c r="J12" s="39">
        <f>IFERROR(SUM(G12,H12)," ")</f>
        <v>0</v>
      </c>
    </row>
    <row r="13" spans="3:10" ht="21" customHeight="1" x14ac:dyDescent="0.25">
      <c r="C13" s="16"/>
      <c r="D13" s="48"/>
      <c r="E13" s="53" t="s">
        <v>95</v>
      </c>
      <c r="F13" s="53" t="s">
        <v>95</v>
      </c>
      <c r="G13" s="39" t="str">
        <f>IFERROR(VLOOKUP($E$13,Precios[],2,FALSE)," ")</f>
        <v xml:space="preserve"> </v>
      </c>
      <c r="H13" s="39" t="str">
        <f>IFERROR((G13*0.07)," ")</f>
        <v xml:space="preserve"> </v>
      </c>
      <c r="I13" s="49"/>
      <c r="J13" s="39">
        <f>IFERROR(SUM(G13,H13)," ")</f>
        <v>0</v>
      </c>
    </row>
    <row r="14" spans="3:10" ht="21" customHeight="1" x14ac:dyDescent="0.25">
      <c r="C14" s="16"/>
      <c r="D14" s="47"/>
      <c r="E14" s="53" t="s">
        <v>95</v>
      </c>
      <c r="F14" s="53" t="s">
        <v>95</v>
      </c>
      <c r="G14" s="39" t="str">
        <f>IFERROR(VLOOKUP($E$14,Precios[],2,FALSE)," ")</f>
        <v xml:space="preserve"> </v>
      </c>
      <c r="H14" s="39" t="str">
        <f>IFERROR((G14*0.07)," ")</f>
        <v xml:space="preserve"> </v>
      </c>
      <c r="I14" s="44"/>
      <c r="J14" s="39">
        <f>IFERROR(SUM(G14,H14)," ")</f>
        <v>0</v>
      </c>
    </row>
    <row r="16" spans="3:10" ht="15.75" x14ac:dyDescent="0.25">
      <c r="I16" s="13" t="s">
        <v>94</v>
      </c>
      <c r="J16" s="40">
        <f>SUM(J10:J14)</f>
        <v>51.36</v>
      </c>
    </row>
    <row r="17" spans="9:10" ht="15.75" x14ac:dyDescent="0.25">
      <c r="I17" s="14"/>
      <c r="J17" s="43"/>
    </row>
    <row r="18" spans="9:10" ht="15.75" x14ac:dyDescent="0.25">
      <c r="I18" s="14"/>
      <c r="J18" s="43"/>
    </row>
  </sheetData>
  <pageMargins left="0.23622047244094502" right="0.23622047244094502" top="0.74803149606299202" bottom="0.74803149606299202" header="0.31496062992126" footer="0.31496062992126"/>
  <pageSetup scale="65" orientation="landscape" cellComments="atEnd" horizontalDpi="4294967293" verticalDpi="4294967293" r:id="rId1"/>
  <drawing r:id="rId2"/>
  <legacyDrawing r:id="rId3"/>
  <picture r:id="rId4"/>
  <controls>
    <mc:AlternateContent xmlns:mc="http://schemas.openxmlformats.org/markup-compatibility/2006">
      <mc:Choice Requires="x14">
        <control shapeId="3086" r:id="rId5" name="ComboBox8">
          <controlPr defaultSize="0" autoLine="0" linkedCell="D12" listFillRange="Names" r:id="rId6">
            <anchor moveWithCells="1">
              <from>
                <xdr:col>3</xdr:col>
                <xdr:colOff>28575</xdr:colOff>
                <xdr:row>10</xdr:row>
                <xdr:rowOff>200025</xdr:rowOff>
              </from>
              <to>
                <xdr:col>4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3086" r:id="rId5" name="ComboBox8"/>
      </mc:Fallback>
    </mc:AlternateContent>
    <mc:AlternateContent xmlns:mc="http://schemas.openxmlformats.org/markup-compatibility/2006">
      <mc:Choice Requires="x14">
        <control shapeId="3084" r:id="rId7" name="ComboBox12">
          <controlPr defaultSize="0" autoLine="0" linkedCell="F13" listFillRange="Estilistas" r:id="rId8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19050</xdr:colOff>
                <xdr:row>13</xdr:row>
                <xdr:rowOff>9525</xdr:rowOff>
              </to>
            </anchor>
          </controlPr>
        </control>
      </mc:Choice>
      <mc:Fallback>
        <control shapeId="3084" r:id="rId7" name="ComboBox12"/>
      </mc:Fallback>
    </mc:AlternateContent>
    <mc:AlternateContent xmlns:mc="http://schemas.openxmlformats.org/markup-compatibility/2006">
      <mc:Choice Requires="x14">
        <control shapeId="3083" r:id="rId9" name="ComboBox11">
          <controlPr defaultSize="0" autoLine="0" linkedCell="F14" listFillRange="Estilistas" r:id="rId8">
            <anchor moveWithCells="1">
              <from>
                <xdr:col>5</xdr:col>
                <xdr:colOff>9525</xdr:colOff>
                <xdr:row>13</xdr:row>
                <xdr:rowOff>0</xdr:rowOff>
              </from>
              <to>
                <xdr:col>6</xdr:col>
                <xdr:colOff>19050</xdr:colOff>
                <xdr:row>13</xdr:row>
                <xdr:rowOff>257175</xdr:rowOff>
              </to>
            </anchor>
          </controlPr>
        </control>
      </mc:Choice>
      <mc:Fallback>
        <control shapeId="3083" r:id="rId9" name="ComboBox11"/>
      </mc:Fallback>
    </mc:AlternateContent>
    <mc:AlternateContent xmlns:mc="http://schemas.openxmlformats.org/markup-compatibility/2006">
      <mc:Choice Requires="x14">
        <control shapeId="3082" r:id="rId10" name="ComboBox10">
          <controlPr defaultSize="0" autoLine="0" linkedCell="F12" listFillRange="Estilistas" r:id="rId8">
            <anchor moveWithCells="1">
              <from>
                <xdr:col>5</xdr:col>
                <xdr:colOff>0</xdr:colOff>
                <xdr:row>11</xdr:row>
                <xdr:rowOff>9525</xdr:rowOff>
              </from>
              <to>
                <xdr:col>6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3082" r:id="rId10" name="ComboBox10"/>
      </mc:Fallback>
    </mc:AlternateContent>
    <mc:AlternateContent xmlns:mc="http://schemas.openxmlformats.org/markup-compatibility/2006">
      <mc:Choice Requires="x14">
        <control shapeId="3081" r:id="rId11" name="ComboBox9">
          <controlPr defaultSize="0" autoLine="0" linkedCell="F11" listFillRange="Estilistas" r:id="rId12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6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3081" r:id="rId11" name="ComboBox9"/>
      </mc:Fallback>
    </mc:AlternateContent>
    <mc:AlternateContent xmlns:mc="http://schemas.openxmlformats.org/markup-compatibility/2006">
      <mc:Choice Requires="x14">
        <control shapeId="3079" r:id="rId13" name="ComboBox7">
          <controlPr defaultSize="0" autoLine="0" linkedCell="E14" listFillRange="Servicios" r:id="rId14">
            <anchor moveWithCells="1">
              <from>
                <xdr:col>4</xdr:col>
                <xdr:colOff>9525</xdr:colOff>
                <xdr:row>13</xdr:row>
                <xdr:rowOff>19050</xdr:rowOff>
              </from>
              <to>
                <xdr:col>5</xdr:col>
                <xdr:colOff>9525</xdr:colOff>
                <xdr:row>14</xdr:row>
                <xdr:rowOff>0</xdr:rowOff>
              </to>
            </anchor>
          </controlPr>
        </control>
      </mc:Choice>
      <mc:Fallback>
        <control shapeId="3079" r:id="rId13" name="ComboBox7"/>
      </mc:Fallback>
    </mc:AlternateContent>
    <mc:AlternateContent xmlns:mc="http://schemas.openxmlformats.org/markup-compatibility/2006">
      <mc:Choice Requires="x14">
        <control shapeId="3078" r:id="rId15" name="ComboBox6">
          <controlPr defaultSize="0" autoLine="0" linkedCell="E13" listFillRange="Servicios" r:id="rId14">
            <anchor moveWithCells="1">
              <from>
                <xdr:col>4</xdr:col>
                <xdr:colOff>9525</xdr:colOff>
                <xdr:row>12</xdr:row>
                <xdr:rowOff>19050</xdr:rowOff>
              </from>
              <to>
                <xdr:col>5</xdr:col>
                <xdr:colOff>9525</xdr:colOff>
                <xdr:row>13</xdr:row>
                <xdr:rowOff>0</xdr:rowOff>
              </to>
            </anchor>
          </controlPr>
        </control>
      </mc:Choice>
      <mc:Fallback>
        <control shapeId="3078" r:id="rId15" name="ComboBox6"/>
      </mc:Fallback>
    </mc:AlternateContent>
    <mc:AlternateContent xmlns:mc="http://schemas.openxmlformats.org/markup-compatibility/2006">
      <mc:Choice Requires="x14">
        <control shapeId="3077" r:id="rId16" name="ComboBox5">
          <controlPr defaultSize="0" autoLine="0" linkedCell="E12" listFillRange="Servicios" r:id="rId17">
            <anchor moveWithCells="1">
              <from>
                <xdr:col>4</xdr:col>
                <xdr:colOff>9525</xdr:colOff>
                <xdr:row>11</xdr:row>
                <xdr:rowOff>19050</xdr:rowOff>
              </from>
              <to>
                <xdr:col>4</xdr:col>
                <xdr:colOff>3343275</xdr:colOff>
                <xdr:row>11</xdr:row>
                <xdr:rowOff>247650</xdr:rowOff>
              </to>
            </anchor>
          </controlPr>
        </control>
      </mc:Choice>
      <mc:Fallback>
        <control shapeId="3077" r:id="rId16" name="ComboBox5"/>
      </mc:Fallback>
    </mc:AlternateContent>
    <mc:AlternateContent xmlns:mc="http://schemas.openxmlformats.org/markup-compatibility/2006">
      <mc:Choice Requires="x14">
        <control shapeId="3073" r:id="rId18" name="ComboBox1">
          <controlPr defaultSize="0" autoLine="0" linkedCell="E10" listFillRange="Servicios" r:id="rId19">
            <anchor moveWithCells="1">
              <from>
                <xdr:col>4</xdr:col>
                <xdr:colOff>19050</xdr:colOff>
                <xdr:row>9</xdr:row>
                <xdr:rowOff>19050</xdr:rowOff>
              </from>
              <to>
                <xdr:col>4</xdr:col>
                <xdr:colOff>3343275</xdr:colOff>
                <xdr:row>10</xdr:row>
                <xdr:rowOff>0</xdr:rowOff>
              </to>
            </anchor>
          </controlPr>
        </control>
      </mc:Choice>
      <mc:Fallback>
        <control shapeId="3073" r:id="rId18" name="ComboBox1"/>
      </mc:Fallback>
    </mc:AlternateContent>
    <mc:AlternateContent xmlns:mc="http://schemas.openxmlformats.org/markup-compatibility/2006">
      <mc:Choice Requires="x14">
        <control shapeId="3074" r:id="rId20" name="ComboBox2">
          <controlPr defaultSize="0" autoLine="0" autoPict="0" linkedCell="F10" listFillRange="Estilistas" r:id="rId21">
            <anchor moveWithCells="1">
              <from>
                <xdr:col>5</xdr:col>
                <xdr:colOff>0</xdr:colOff>
                <xdr:row>9</xdr:row>
                <xdr:rowOff>9525</xdr:rowOff>
              </from>
              <to>
                <xdr:col>6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3074" r:id="rId20" name="ComboBox2"/>
      </mc:Fallback>
    </mc:AlternateContent>
    <mc:AlternateContent xmlns:mc="http://schemas.openxmlformats.org/markup-compatibility/2006">
      <mc:Choice Requires="x14">
        <control shapeId="3075" r:id="rId22" name="ComboBox3">
          <controlPr defaultSize="0" autoLine="0" linkedCell="E11" listFillRange="Servicios" r:id="rId23">
            <anchor moveWithCells="1">
              <from>
                <xdr:col>4</xdr:col>
                <xdr:colOff>9525</xdr:colOff>
                <xdr:row>10</xdr:row>
                <xdr:rowOff>19050</xdr:rowOff>
              </from>
              <to>
                <xdr:col>4</xdr:col>
                <xdr:colOff>3333750</xdr:colOff>
                <xdr:row>10</xdr:row>
                <xdr:rowOff>247650</xdr:rowOff>
              </to>
            </anchor>
          </controlPr>
        </control>
      </mc:Choice>
      <mc:Fallback>
        <control shapeId="3075" r:id="rId22" name="ComboBox3"/>
      </mc:Fallback>
    </mc:AlternateContent>
    <mc:AlternateContent xmlns:mc="http://schemas.openxmlformats.org/markup-compatibility/2006">
      <mc:Choice Requires="x14">
        <control shapeId="3076" r:id="rId24" name="ComboBox4">
          <controlPr defaultSize="0" autoLine="0" linkedCell="I12" listFillRange="FormatosdePago" r:id="rId25">
            <anchor moveWithCells="1">
              <from>
                <xdr:col>8</xdr:col>
                <xdr:colOff>19050</xdr:colOff>
                <xdr:row>11</xdr:row>
                <xdr:rowOff>9525</xdr:rowOff>
              </from>
              <to>
                <xdr:col>9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3076" r:id="rId24" name="ComboBox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52D23-CC49-4C87-84C9-834747E92689}">
  <sheetPr codeName="Hoja3">
    <tabColor theme="7" tint="0.59999389629810485"/>
  </sheetPr>
  <dimension ref="A1:D10"/>
  <sheetViews>
    <sheetView showGridLines="0" workbookViewId="0">
      <pane ySplit="1" topLeftCell="A2" activePane="bottomLeft" state="frozen"/>
      <selection pane="bottomLeft" activeCell="C2" sqref="C2"/>
    </sheetView>
  </sheetViews>
  <sheetFormatPr baseColWidth="10" defaultRowHeight="15" x14ac:dyDescent="0.2"/>
  <cols>
    <col min="1" max="1" width="36.140625" style="6" customWidth="1"/>
    <col min="2" max="2" width="19.5703125" style="6" customWidth="1"/>
    <col min="3" max="3" width="17.140625" style="6" customWidth="1"/>
    <col min="4" max="4" width="45.28515625" style="6" customWidth="1"/>
    <col min="5" max="16384" width="11.42578125" style="6"/>
  </cols>
  <sheetData>
    <row r="1" spans="1:4" x14ac:dyDescent="0.2">
      <c r="A1" s="3" t="s">
        <v>4</v>
      </c>
      <c r="B1" s="4" t="s">
        <v>2</v>
      </c>
      <c r="C1" s="4" t="s">
        <v>5</v>
      </c>
      <c r="D1" s="5" t="s">
        <v>103</v>
      </c>
    </row>
    <row r="2" spans="1:4" x14ac:dyDescent="0.2">
      <c r="A2" s="7" t="s">
        <v>108</v>
      </c>
      <c r="B2" s="8" t="s">
        <v>113</v>
      </c>
      <c r="C2" s="8">
        <v>68483873</v>
      </c>
      <c r="D2" s="9" t="s">
        <v>112</v>
      </c>
    </row>
    <row r="3" spans="1:4" x14ac:dyDescent="0.2">
      <c r="A3" s="7" t="s">
        <v>108</v>
      </c>
      <c r="B3" s="8" t="s">
        <v>109</v>
      </c>
      <c r="C3" s="8">
        <v>67676767</v>
      </c>
      <c r="D3" s="9"/>
    </row>
    <row r="4" spans="1:4" x14ac:dyDescent="0.2">
      <c r="A4" s="7" t="s">
        <v>105</v>
      </c>
      <c r="B4" s="8" t="s">
        <v>102</v>
      </c>
      <c r="C4" s="8">
        <v>6565678</v>
      </c>
      <c r="D4" s="9"/>
    </row>
    <row r="5" spans="1:4" x14ac:dyDescent="0.2">
      <c r="A5" s="7" t="s">
        <v>104</v>
      </c>
      <c r="B5" s="8" t="s">
        <v>102</v>
      </c>
      <c r="C5" s="8">
        <v>6565678</v>
      </c>
      <c r="D5" s="9"/>
    </row>
    <row r="6" spans="1:4" x14ac:dyDescent="0.2">
      <c r="A6" s="7" t="s">
        <v>104</v>
      </c>
      <c r="B6" s="8" t="s">
        <v>102</v>
      </c>
      <c r="C6" s="8">
        <v>6565678</v>
      </c>
      <c r="D6" s="9"/>
    </row>
    <row r="7" spans="1:4" x14ac:dyDescent="0.2">
      <c r="A7" s="7" t="s">
        <v>104</v>
      </c>
      <c r="B7" s="8" t="s">
        <v>102</v>
      </c>
      <c r="C7" s="8">
        <v>6565678</v>
      </c>
      <c r="D7" s="9"/>
    </row>
    <row r="8" spans="1:4" x14ac:dyDescent="0.2">
      <c r="A8" s="41"/>
      <c r="B8" s="41"/>
      <c r="C8" s="41"/>
      <c r="D8" s="41"/>
    </row>
    <row r="10" spans="1:4" x14ac:dyDescent="0.2">
      <c r="D10" s="42"/>
    </row>
  </sheetData>
  <pageMargins left="0.7" right="0.7" top="0.75" bottom="0.75" header="0.3" footer="0.3"/>
  <drawing r:id="rId1"/>
  <picture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A71F3-95A1-426F-9B68-38E4A1E19FB4}">
  <sheetPr codeName="Hoja6">
    <tabColor theme="5" tint="0.59999389629810485"/>
  </sheetPr>
  <dimension ref="A1:I60"/>
  <sheetViews>
    <sheetView showGridLines="0" tabSelected="1" workbookViewId="0">
      <pane ySplit="1" topLeftCell="A2" activePane="bottomLeft" state="frozen"/>
      <selection pane="bottomLeft" activeCell="B1" sqref="B1"/>
    </sheetView>
  </sheetViews>
  <sheetFormatPr baseColWidth="10" defaultRowHeight="15" x14ac:dyDescent="0.25"/>
  <cols>
    <col min="1" max="1" width="13.28515625" bestFit="1" customWidth="1"/>
    <col min="2" max="2" width="43.85546875" customWidth="1"/>
    <col min="3" max="3" width="12.140625" bestFit="1" customWidth="1"/>
    <col min="6" max="6" width="16.85546875" bestFit="1" customWidth="1"/>
  </cols>
  <sheetData>
    <row r="1" spans="1:9" x14ac:dyDescent="0.25">
      <c r="B1" s="26" t="s">
        <v>6</v>
      </c>
      <c r="C1" s="27" t="s">
        <v>9</v>
      </c>
    </row>
    <row r="2" spans="1:9" x14ac:dyDescent="0.25">
      <c r="A2" s="72" t="s">
        <v>8</v>
      </c>
      <c r="B2" s="19"/>
      <c r="C2" s="59"/>
    </row>
    <row r="3" spans="1:9" x14ac:dyDescent="0.25">
      <c r="A3" s="72"/>
      <c r="B3" s="17" t="s">
        <v>10</v>
      </c>
      <c r="C3" s="20">
        <v>14</v>
      </c>
    </row>
    <row r="4" spans="1:9" x14ac:dyDescent="0.25">
      <c r="A4" s="72"/>
      <c r="B4" s="17" t="s">
        <v>11</v>
      </c>
      <c r="C4" s="20">
        <v>10</v>
      </c>
    </row>
    <row r="5" spans="1:9" x14ac:dyDescent="0.25">
      <c r="A5" s="72"/>
      <c r="B5" s="17" t="s">
        <v>12</v>
      </c>
      <c r="C5" s="20">
        <v>18</v>
      </c>
    </row>
    <row r="6" spans="1:9" x14ac:dyDescent="0.25">
      <c r="A6" s="72"/>
      <c r="B6" s="17" t="s">
        <v>13</v>
      </c>
      <c r="C6" s="20">
        <v>16</v>
      </c>
    </row>
    <row r="7" spans="1:9" x14ac:dyDescent="0.25">
      <c r="A7" s="72"/>
      <c r="B7" s="17" t="s">
        <v>14</v>
      </c>
      <c r="C7" s="20">
        <v>25</v>
      </c>
    </row>
    <row r="8" spans="1:9" x14ac:dyDescent="0.25">
      <c r="A8" s="72"/>
      <c r="B8" s="17" t="s">
        <v>15</v>
      </c>
      <c r="C8" s="20">
        <v>38</v>
      </c>
    </row>
    <row r="9" spans="1:9" x14ac:dyDescent="0.25">
      <c r="A9" s="72"/>
      <c r="B9" s="17" t="s">
        <v>16</v>
      </c>
      <c r="C9" s="20">
        <v>8</v>
      </c>
    </row>
    <row r="10" spans="1:9" x14ac:dyDescent="0.25">
      <c r="A10" s="72"/>
      <c r="B10" s="17" t="s">
        <v>17</v>
      </c>
      <c r="C10" s="20">
        <v>40</v>
      </c>
      <c r="H10" s="74" t="s">
        <v>97</v>
      </c>
      <c r="I10" s="75"/>
    </row>
    <row r="11" spans="1:9" x14ac:dyDescent="0.25">
      <c r="A11" s="72"/>
      <c r="B11" s="17" t="s">
        <v>18</v>
      </c>
      <c r="C11" s="20">
        <v>38</v>
      </c>
      <c r="H11" s="76" t="s">
        <v>98</v>
      </c>
      <c r="I11" s="77"/>
    </row>
    <row r="12" spans="1:9" x14ac:dyDescent="0.25">
      <c r="A12" s="72"/>
      <c r="B12" s="17" t="s">
        <v>19</v>
      </c>
      <c r="C12" s="20">
        <v>6</v>
      </c>
      <c r="H12" s="76" t="s">
        <v>99</v>
      </c>
      <c r="I12" s="77"/>
    </row>
    <row r="13" spans="1:9" x14ac:dyDescent="0.25">
      <c r="A13" s="72"/>
      <c r="B13" s="17" t="s">
        <v>20</v>
      </c>
      <c r="C13" s="20">
        <v>25</v>
      </c>
      <c r="H13" s="76" t="s">
        <v>100</v>
      </c>
      <c r="I13" s="77"/>
    </row>
    <row r="14" spans="1:9" x14ac:dyDescent="0.25">
      <c r="A14" s="72"/>
      <c r="B14" s="17" t="s">
        <v>21</v>
      </c>
      <c r="C14" s="20">
        <v>24</v>
      </c>
      <c r="H14" s="76" t="s">
        <v>101</v>
      </c>
      <c r="I14" s="77"/>
    </row>
    <row r="15" spans="1:9" x14ac:dyDescent="0.25">
      <c r="A15" s="72"/>
      <c r="B15" s="17" t="s">
        <v>22</v>
      </c>
      <c r="C15" s="20">
        <v>6</v>
      </c>
    </row>
    <row r="16" spans="1:9" x14ac:dyDescent="0.25">
      <c r="A16" s="72"/>
      <c r="B16" s="17" t="s">
        <v>23</v>
      </c>
      <c r="C16" s="20">
        <v>7</v>
      </c>
    </row>
    <row r="17" spans="1:3" x14ac:dyDescent="0.25">
      <c r="A17" s="72"/>
      <c r="B17" s="17" t="s">
        <v>24</v>
      </c>
      <c r="C17" s="20">
        <v>10</v>
      </c>
    </row>
    <row r="18" spans="1:3" x14ac:dyDescent="0.25">
      <c r="A18" s="72"/>
      <c r="B18" s="17" t="s">
        <v>25</v>
      </c>
      <c r="C18" s="20">
        <v>70</v>
      </c>
    </row>
    <row r="19" spans="1:3" x14ac:dyDescent="0.25">
      <c r="A19" s="72"/>
      <c r="B19" s="18" t="s">
        <v>26</v>
      </c>
      <c r="C19" s="21">
        <v>20</v>
      </c>
    </row>
    <row r="20" spans="1:3" x14ac:dyDescent="0.25">
      <c r="A20" s="72"/>
      <c r="B20" s="19" t="s">
        <v>27</v>
      </c>
      <c r="C20" s="22">
        <v>50</v>
      </c>
    </row>
    <row r="21" spans="1:3" x14ac:dyDescent="0.25">
      <c r="A21" s="72"/>
      <c r="B21" s="19" t="s">
        <v>28</v>
      </c>
      <c r="C21" s="22">
        <v>25</v>
      </c>
    </row>
    <row r="22" spans="1:3" x14ac:dyDescent="0.25">
      <c r="A22" s="72"/>
      <c r="B22" s="19" t="s">
        <v>29</v>
      </c>
      <c r="C22" s="22">
        <v>15</v>
      </c>
    </row>
    <row r="23" spans="1:3" x14ac:dyDescent="0.25">
      <c r="A23" s="72"/>
      <c r="B23" s="19" t="s">
        <v>30</v>
      </c>
      <c r="C23" s="22">
        <v>15</v>
      </c>
    </row>
    <row r="24" spans="1:3" x14ac:dyDescent="0.25">
      <c r="A24" s="72"/>
      <c r="B24" s="19" t="s">
        <v>31</v>
      </c>
      <c r="C24" s="22">
        <v>40</v>
      </c>
    </row>
    <row r="25" spans="1:3" x14ac:dyDescent="0.25">
      <c r="A25" s="72"/>
      <c r="B25" s="19" t="s">
        <v>32</v>
      </c>
      <c r="C25" s="22">
        <v>35</v>
      </c>
    </row>
    <row r="26" spans="1:3" x14ac:dyDescent="0.25">
      <c r="A26" s="72"/>
      <c r="B26" s="19" t="s">
        <v>33</v>
      </c>
      <c r="C26" s="22">
        <v>35</v>
      </c>
    </row>
    <row r="27" spans="1:3" x14ac:dyDescent="0.25">
      <c r="A27" s="72"/>
      <c r="B27" s="19" t="s">
        <v>34</v>
      </c>
      <c r="C27" s="22">
        <v>150</v>
      </c>
    </row>
    <row r="28" spans="1:3" x14ac:dyDescent="0.25">
      <c r="A28" s="72"/>
      <c r="B28" s="19" t="s">
        <v>35</v>
      </c>
      <c r="C28" s="22">
        <v>25</v>
      </c>
    </row>
    <row r="29" spans="1:3" x14ac:dyDescent="0.25">
      <c r="A29" s="73" t="s">
        <v>37</v>
      </c>
      <c r="B29" s="19" t="s">
        <v>36</v>
      </c>
      <c r="C29" s="22">
        <v>250</v>
      </c>
    </row>
    <row r="30" spans="1:3" x14ac:dyDescent="0.25">
      <c r="A30" s="73"/>
      <c r="B30" s="17" t="s">
        <v>38</v>
      </c>
      <c r="C30" s="20">
        <v>56</v>
      </c>
    </row>
    <row r="31" spans="1:3" ht="30" x14ac:dyDescent="0.25">
      <c r="A31" s="73"/>
      <c r="B31" s="17" t="s">
        <v>39</v>
      </c>
      <c r="C31" s="20">
        <v>25</v>
      </c>
    </row>
    <row r="32" spans="1:3" ht="30" x14ac:dyDescent="0.25">
      <c r="A32" s="73"/>
      <c r="B32" s="17" t="s">
        <v>40</v>
      </c>
      <c r="C32" s="20">
        <v>25</v>
      </c>
    </row>
    <row r="33" spans="1:3" ht="30" x14ac:dyDescent="0.25">
      <c r="A33" s="73"/>
      <c r="B33" s="17" t="s">
        <v>41</v>
      </c>
      <c r="C33" s="20">
        <v>10</v>
      </c>
    </row>
    <row r="34" spans="1:3" ht="30" x14ac:dyDescent="0.25">
      <c r="A34" s="73"/>
      <c r="B34" s="17" t="s">
        <v>42</v>
      </c>
      <c r="C34" s="20">
        <v>40</v>
      </c>
    </row>
    <row r="35" spans="1:3" ht="30" x14ac:dyDescent="0.25">
      <c r="A35" s="73"/>
      <c r="B35" s="17" t="s">
        <v>43</v>
      </c>
      <c r="C35" s="20">
        <v>30.4</v>
      </c>
    </row>
    <row r="36" spans="1:3" x14ac:dyDescent="0.25">
      <c r="A36" s="73"/>
      <c r="B36" s="17" t="s">
        <v>44</v>
      </c>
      <c r="C36" s="20">
        <v>45</v>
      </c>
    </row>
    <row r="37" spans="1:3" ht="30" x14ac:dyDescent="0.25">
      <c r="A37" s="73"/>
      <c r="B37" s="17" t="s">
        <v>45</v>
      </c>
      <c r="C37" s="20">
        <v>20</v>
      </c>
    </row>
    <row r="38" spans="1:3" x14ac:dyDescent="0.25">
      <c r="A38" s="73"/>
      <c r="B38" s="17" t="s">
        <v>46</v>
      </c>
      <c r="C38" s="20">
        <v>24.5</v>
      </c>
    </row>
    <row r="39" spans="1:3" ht="30" x14ac:dyDescent="0.25">
      <c r="A39" s="73"/>
      <c r="B39" s="17" t="s">
        <v>47</v>
      </c>
      <c r="C39" s="20">
        <v>12</v>
      </c>
    </row>
    <row r="40" spans="1:3" x14ac:dyDescent="0.25">
      <c r="A40" s="73"/>
      <c r="B40" s="17" t="s">
        <v>48</v>
      </c>
      <c r="C40" s="20">
        <v>56</v>
      </c>
    </row>
    <row r="41" spans="1:3" ht="30" x14ac:dyDescent="0.25">
      <c r="A41" s="73"/>
      <c r="B41" s="17" t="s">
        <v>49</v>
      </c>
      <c r="C41" s="20">
        <v>30</v>
      </c>
    </row>
    <row r="42" spans="1:3" ht="30" x14ac:dyDescent="0.25">
      <c r="A42" s="73"/>
      <c r="B42" s="17" t="s">
        <v>50</v>
      </c>
      <c r="C42" s="20">
        <v>30</v>
      </c>
    </row>
    <row r="43" spans="1:3" ht="30" x14ac:dyDescent="0.25">
      <c r="A43" s="73"/>
      <c r="B43" s="17" t="s">
        <v>51</v>
      </c>
      <c r="C43" s="20">
        <v>35</v>
      </c>
    </row>
    <row r="44" spans="1:3" ht="30" x14ac:dyDescent="0.25">
      <c r="A44" s="73"/>
      <c r="B44" s="17" t="s">
        <v>52</v>
      </c>
      <c r="C44" s="20">
        <v>25</v>
      </c>
    </row>
    <row r="45" spans="1:3" x14ac:dyDescent="0.25">
      <c r="A45" s="73"/>
      <c r="B45" s="17" t="s">
        <v>53</v>
      </c>
      <c r="C45" s="20">
        <v>16</v>
      </c>
    </row>
    <row r="46" spans="1:3" ht="18.75" customHeight="1" x14ac:dyDescent="0.25">
      <c r="A46" s="73"/>
      <c r="B46" s="17" t="s">
        <v>54</v>
      </c>
      <c r="C46" s="20">
        <v>40</v>
      </c>
    </row>
    <row r="47" spans="1:3" x14ac:dyDescent="0.25">
      <c r="A47" s="73"/>
      <c r="B47" s="19" t="s">
        <v>55</v>
      </c>
      <c r="C47" s="22">
        <v>30</v>
      </c>
    </row>
    <row r="48" spans="1:3" x14ac:dyDescent="0.25">
      <c r="A48" s="73"/>
      <c r="B48" s="19" t="s">
        <v>56</v>
      </c>
      <c r="C48" s="22">
        <v>20</v>
      </c>
    </row>
    <row r="49" spans="1:3" ht="21" customHeight="1" x14ac:dyDescent="0.25">
      <c r="A49" s="73"/>
      <c r="B49" s="19" t="s">
        <v>57</v>
      </c>
      <c r="C49" s="22">
        <v>15</v>
      </c>
    </row>
    <row r="50" spans="1:3" ht="16.5" customHeight="1" x14ac:dyDescent="0.25">
      <c r="A50" s="73"/>
      <c r="B50" s="19" t="s">
        <v>58</v>
      </c>
      <c r="C50" s="22">
        <v>20</v>
      </c>
    </row>
    <row r="51" spans="1:3" ht="21" customHeight="1" x14ac:dyDescent="0.25">
      <c r="A51" s="73"/>
      <c r="B51" s="19" t="s">
        <v>59</v>
      </c>
      <c r="C51" s="22">
        <v>15</v>
      </c>
    </row>
    <row r="52" spans="1:3" x14ac:dyDescent="0.25">
      <c r="A52" s="73"/>
      <c r="B52" s="19" t="s">
        <v>60</v>
      </c>
      <c r="C52" s="22">
        <v>5</v>
      </c>
    </row>
    <row r="53" spans="1:3" x14ac:dyDescent="0.25">
      <c r="A53" s="73"/>
      <c r="B53" s="19" t="s">
        <v>61</v>
      </c>
      <c r="C53" s="22">
        <v>6</v>
      </c>
    </row>
    <row r="54" spans="1:3" x14ac:dyDescent="0.25">
      <c r="A54" s="73"/>
      <c r="B54" s="19" t="s">
        <v>62</v>
      </c>
      <c r="C54" s="22">
        <v>10</v>
      </c>
    </row>
    <row r="55" spans="1:3" x14ac:dyDescent="0.25">
      <c r="A55" s="73"/>
      <c r="B55" s="19" t="s">
        <v>63</v>
      </c>
      <c r="C55" s="22">
        <v>15</v>
      </c>
    </row>
    <row r="56" spans="1:3" ht="30" x14ac:dyDescent="0.25">
      <c r="A56" s="73"/>
      <c r="B56" s="19" t="s">
        <v>64</v>
      </c>
      <c r="C56" s="23">
        <v>17.5</v>
      </c>
    </row>
    <row r="57" spans="1:3" ht="30" x14ac:dyDescent="0.25">
      <c r="A57" s="73"/>
      <c r="B57" s="19" t="s">
        <v>65</v>
      </c>
      <c r="C57" s="23">
        <v>12.6</v>
      </c>
    </row>
    <row r="58" spans="1:3" x14ac:dyDescent="0.25">
      <c r="A58" s="73"/>
      <c r="B58" s="19" t="s">
        <v>66</v>
      </c>
      <c r="C58" s="23">
        <v>49</v>
      </c>
    </row>
    <row r="59" spans="1:3" x14ac:dyDescent="0.25">
      <c r="A59" s="73"/>
      <c r="B59" s="19" t="s">
        <v>67</v>
      </c>
      <c r="C59" s="23">
        <v>17.5</v>
      </c>
    </row>
    <row r="60" spans="1:3" x14ac:dyDescent="0.25">
      <c r="B60" s="24" t="s">
        <v>68</v>
      </c>
      <c r="C60" s="25">
        <v>26.6</v>
      </c>
    </row>
  </sheetData>
  <mergeCells count="7">
    <mergeCell ref="A2:A28"/>
    <mergeCell ref="A29:A59"/>
    <mergeCell ref="H10:I10"/>
    <mergeCell ref="H11:I11"/>
    <mergeCell ref="H12:I12"/>
    <mergeCell ref="H13:I13"/>
    <mergeCell ref="H14:I14"/>
  </mergeCells>
  <pageMargins left="0.7" right="0.7" top="0.75" bottom="0.75" header="0.3" footer="0.3"/>
  <pageSetup orientation="portrait" horizontalDpi="4294967293" verticalDpi="4294967293" r:id="rId1"/>
  <drawing r:id="rId2"/>
  <picture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CBE78-F445-4BAA-9E5A-8D3003E32B35}">
  <sheetPr codeName="Hoja7">
    <tabColor theme="5" tint="-0.499984740745262"/>
  </sheetPr>
  <dimension ref="A1:B18"/>
  <sheetViews>
    <sheetView showGridLines="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7109375" bestFit="1" customWidth="1"/>
    <col min="2" max="2" width="25.140625" customWidth="1"/>
  </cols>
  <sheetData>
    <row r="1" spans="1:2" x14ac:dyDescent="0.25">
      <c r="A1" s="33" t="s">
        <v>69</v>
      </c>
      <c r="B1" s="34" t="s">
        <v>90</v>
      </c>
    </row>
    <row r="2" spans="1:2" x14ac:dyDescent="0.25">
      <c r="A2" s="29"/>
      <c r="B2" s="58"/>
    </row>
    <row r="3" spans="1:2" x14ac:dyDescent="0.25">
      <c r="A3" s="28" t="s">
        <v>71</v>
      </c>
      <c r="B3" s="30" t="s">
        <v>70</v>
      </c>
    </row>
    <row r="4" spans="1:2" x14ac:dyDescent="0.25">
      <c r="A4" s="28" t="s">
        <v>72</v>
      </c>
      <c r="B4" s="30" t="s">
        <v>70</v>
      </c>
    </row>
    <row r="5" spans="1:2" x14ac:dyDescent="0.25">
      <c r="A5" s="28" t="s">
        <v>74</v>
      </c>
      <c r="B5" s="30" t="s">
        <v>70</v>
      </c>
    </row>
    <row r="6" spans="1:2" x14ac:dyDescent="0.25">
      <c r="A6" s="29" t="s">
        <v>78</v>
      </c>
      <c r="B6" s="30" t="s">
        <v>70</v>
      </c>
    </row>
    <row r="7" spans="1:2" x14ac:dyDescent="0.25">
      <c r="A7" s="29" t="s">
        <v>73</v>
      </c>
      <c r="B7" s="30" t="s">
        <v>70</v>
      </c>
    </row>
    <row r="8" spans="1:2" x14ac:dyDescent="0.25">
      <c r="A8" s="29" t="s">
        <v>75</v>
      </c>
      <c r="B8" s="30" t="s">
        <v>70</v>
      </c>
    </row>
    <row r="9" spans="1:2" x14ac:dyDescent="0.25">
      <c r="A9" s="29" t="s">
        <v>77</v>
      </c>
      <c r="B9" s="30" t="s">
        <v>70</v>
      </c>
    </row>
    <row r="10" spans="1:2" x14ac:dyDescent="0.25">
      <c r="A10" s="29" t="s">
        <v>76</v>
      </c>
      <c r="B10" s="30" t="s">
        <v>70</v>
      </c>
    </row>
    <row r="11" spans="1:2" x14ac:dyDescent="0.25">
      <c r="A11" s="29" t="s">
        <v>79</v>
      </c>
      <c r="B11" s="30" t="s">
        <v>70</v>
      </c>
    </row>
    <row r="12" spans="1:2" x14ac:dyDescent="0.25">
      <c r="A12" s="29" t="s">
        <v>81</v>
      </c>
      <c r="B12" s="30" t="s">
        <v>80</v>
      </c>
    </row>
    <row r="13" spans="1:2" x14ac:dyDescent="0.25">
      <c r="A13" s="29" t="s">
        <v>82</v>
      </c>
      <c r="B13" s="30" t="s">
        <v>80</v>
      </c>
    </row>
    <row r="14" spans="1:2" x14ac:dyDescent="0.25">
      <c r="A14" s="29" t="s">
        <v>89</v>
      </c>
      <c r="B14" s="30" t="s">
        <v>80</v>
      </c>
    </row>
    <row r="15" spans="1:2" x14ac:dyDescent="0.25">
      <c r="A15" s="29" t="s">
        <v>83</v>
      </c>
      <c r="B15" s="30" t="s">
        <v>80</v>
      </c>
    </row>
    <row r="16" spans="1:2" x14ac:dyDescent="0.25">
      <c r="A16" s="29" t="s">
        <v>84</v>
      </c>
      <c r="B16" s="30" t="s">
        <v>86</v>
      </c>
    </row>
    <row r="17" spans="1:2" x14ac:dyDescent="0.25">
      <c r="A17" s="29" t="s">
        <v>85</v>
      </c>
      <c r="B17" s="30" t="s">
        <v>86</v>
      </c>
    </row>
    <row r="18" spans="1:2" x14ac:dyDescent="0.25">
      <c r="A18" s="31" t="s">
        <v>88</v>
      </c>
      <c r="B18" s="32" t="s">
        <v>87</v>
      </c>
    </row>
  </sheetData>
  <pageMargins left="0.7" right="0.7" top="0.75" bottom="0.75" header="0.3" footer="0.3"/>
  <pageSetup orientation="portrait" horizontalDpi="4294967293" verticalDpi="4294967293" r:id="rId1"/>
  <drawing r:id="rId2"/>
  <picture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0F9F9-A46E-420C-BD33-077946318725}">
  <sheetPr codeName="Hoja5">
    <tabColor rgb="FFFF99CC"/>
  </sheetPr>
  <dimension ref="C6:T520"/>
  <sheetViews>
    <sheetView showGridLines="0" zoomScale="80" zoomScaleNormal="80" workbookViewId="0">
      <selection activeCell="E8" sqref="E8"/>
    </sheetView>
  </sheetViews>
  <sheetFormatPr baseColWidth="10" defaultRowHeight="15" x14ac:dyDescent="0.25"/>
  <cols>
    <col min="4" max="4" width="18.140625" customWidth="1"/>
    <col min="5" max="5" width="44.140625" customWidth="1"/>
    <col min="6" max="6" width="25.85546875" customWidth="1"/>
    <col min="7" max="7" width="19.42578125" customWidth="1"/>
    <col min="8" max="8" width="12.5703125" bestFit="1" customWidth="1"/>
    <col min="9" max="9" width="28.7109375" customWidth="1"/>
    <col min="10" max="10" width="25.140625" customWidth="1"/>
  </cols>
  <sheetData>
    <row r="6" spans="4:10" ht="15.75" x14ac:dyDescent="0.25">
      <c r="D6" s="14"/>
      <c r="E6" s="14"/>
    </row>
    <row r="7" spans="4:10" ht="15.75" x14ac:dyDescent="0.25">
      <c r="D7" s="14"/>
      <c r="E7" s="14"/>
      <c r="F7" s="10"/>
      <c r="G7" s="10"/>
      <c r="H7" s="10"/>
    </row>
    <row r="8" spans="4:10" ht="18" x14ac:dyDescent="0.25">
      <c r="D8" s="56" t="s">
        <v>106</v>
      </c>
      <c r="E8" s="60" t="s">
        <v>114</v>
      </c>
      <c r="F8" s="2"/>
      <c r="G8" s="2"/>
      <c r="I8" s="67" t="s">
        <v>110</v>
      </c>
      <c r="J8" s="68">
        <v>2</v>
      </c>
    </row>
    <row r="9" spans="4:10" ht="18" x14ac:dyDescent="0.25">
      <c r="D9" s="11" t="s">
        <v>96</v>
      </c>
      <c r="E9" s="11" t="s">
        <v>6</v>
      </c>
      <c r="F9" s="11" t="s">
        <v>7</v>
      </c>
      <c r="G9" s="11" t="s">
        <v>91</v>
      </c>
      <c r="H9" s="11" t="s">
        <v>92</v>
      </c>
      <c r="I9" s="11" t="s">
        <v>93</v>
      </c>
      <c r="J9" s="11" t="s">
        <v>94</v>
      </c>
    </row>
    <row r="10" spans="4:10" ht="18" x14ac:dyDescent="0.25">
      <c r="D10" s="46" t="s">
        <v>95</v>
      </c>
      <c r="E10" s="53" t="s">
        <v>24</v>
      </c>
      <c r="F10" s="53" t="s">
        <v>85</v>
      </c>
      <c r="G10" s="39">
        <f>IFERROR(VLOOKUP($E$10,Precios[],2,FALSE)," ")</f>
        <v>10</v>
      </c>
      <c r="H10" s="39">
        <f>IFERROR((G10*0.07)," ")</f>
        <v>0.70000000000000007</v>
      </c>
      <c r="I10" s="45"/>
      <c r="J10" s="39">
        <f>IFERROR(SUM(G10,H10)," ")</f>
        <v>10.7</v>
      </c>
    </row>
    <row r="11" spans="4:10" ht="18" x14ac:dyDescent="0.25">
      <c r="D11" s="48"/>
      <c r="E11" s="53" t="s">
        <v>15</v>
      </c>
      <c r="F11" s="53" t="s">
        <v>78</v>
      </c>
      <c r="G11" s="39">
        <f>IFERROR(VLOOKUP($E$11,Precios[],2,FALSE)," ")</f>
        <v>38</v>
      </c>
      <c r="H11" s="39">
        <f>IFERROR((G11*0.07)," ")</f>
        <v>2.66</v>
      </c>
      <c r="I11" s="49"/>
      <c r="J11" s="39">
        <f>IFERROR(SUM(G11,H11)," ")</f>
        <v>40.659999999999997</v>
      </c>
    </row>
    <row r="12" spans="4:10" x14ac:dyDescent="0.25">
      <c r="D12" s="52" t="s">
        <v>108</v>
      </c>
      <c r="E12" s="54" t="s">
        <v>95</v>
      </c>
      <c r="F12" s="54" t="s">
        <v>95</v>
      </c>
      <c r="G12" s="39" t="str">
        <f>IFERROR(VLOOKUP($E$12,Precios[],2,FALSE)," ")</f>
        <v xml:space="preserve"> </v>
      </c>
      <c r="H12" s="39" t="str">
        <f>IFERROR((G12*0.07)," ")</f>
        <v xml:space="preserve"> </v>
      </c>
      <c r="I12" s="55" t="s">
        <v>100</v>
      </c>
      <c r="J12" s="39">
        <f>IFERROR(SUM(G12,H12)," ")</f>
        <v>0</v>
      </c>
    </row>
    <row r="13" spans="4:10" ht="18" x14ac:dyDescent="0.25">
      <c r="D13" s="48"/>
      <c r="E13" s="53" t="s">
        <v>95</v>
      </c>
      <c r="F13" s="53" t="s">
        <v>95</v>
      </c>
      <c r="G13" s="39" t="str">
        <f>IFERROR(VLOOKUP($E$13,Precios[],2,FALSE)," ")</f>
        <v xml:space="preserve"> </v>
      </c>
      <c r="H13" s="39" t="str">
        <f>IFERROR((G13*0.07)," ")</f>
        <v xml:space="preserve"> </v>
      </c>
      <c r="I13" s="49"/>
      <c r="J13" s="39">
        <f>IFERROR(SUM(G13,H13)," ")</f>
        <v>0</v>
      </c>
    </row>
    <row r="14" spans="4:10" ht="18" x14ac:dyDescent="0.25">
      <c r="D14" s="47"/>
      <c r="E14" s="53" t="s">
        <v>95</v>
      </c>
      <c r="F14" s="53" t="s">
        <v>95</v>
      </c>
      <c r="G14" s="39" t="str">
        <f>IFERROR(VLOOKUP($E$14,Precios[],2,FALSE)," ")</f>
        <v xml:space="preserve"> </v>
      </c>
      <c r="H14" s="39" t="str">
        <f>IFERROR((G14*0.07)," ")</f>
        <v xml:space="preserve"> </v>
      </c>
      <c r="I14" s="44"/>
      <c r="J14" s="39">
        <f>IFERROR(SUM(G14,H14)," ")</f>
        <v>0</v>
      </c>
    </row>
    <row r="16" spans="4:10" ht="15.75" x14ac:dyDescent="0.25">
      <c r="I16" s="13" t="s">
        <v>94</v>
      </c>
      <c r="J16" s="40">
        <f>SUM(J10:J14)</f>
        <v>51.36</v>
      </c>
    </row>
    <row r="17" spans="4:10" ht="15.75" x14ac:dyDescent="0.25">
      <c r="I17" s="14"/>
      <c r="J17" s="43"/>
    </row>
    <row r="18" spans="4:10" ht="15.75" x14ac:dyDescent="0.25">
      <c r="I18" s="14"/>
      <c r="J18" s="43"/>
    </row>
    <row r="26" spans="4:10" ht="15.75" x14ac:dyDescent="0.25">
      <c r="D26" s="14"/>
      <c r="E26" s="14"/>
    </row>
    <row r="27" spans="4:10" ht="15.75" x14ac:dyDescent="0.25">
      <c r="D27" s="14"/>
      <c r="E27" s="14"/>
      <c r="F27" s="10"/>
      <c r="G27" s="10"/>
      <c r="H27" s="10"/>
    </row>
    <row r="28" spans="4:10" ht="18" x14ac:dyDescent="0.25">
      <c r="D28" s="56" t="s">
        <v>106</v>
      </c>
      <c r="E28" s="60"/>
      <c r="F28" s="2"/>
      <c r="G28" s="2"/>
      <c r="I28" s="67" t="s">
        <v>110</v>
      </c>
      <c r="J28" s="68">
        <v>2</v>
      </c>
    </row>
    <row r="29" spans="4:10" ht="18" x14ac:dyDescent="0.25">
      <c r="D29" s="11" t="s">
        <v>96</v>
      </c>
      <c r="E29" s="11" t="s">
        <v>6</v>
      </c>
      <c r="F29" s="11" t="s">
        <v>7</v>
      </c>
      <c r="G29" s="11" t="s">
        <v>91</v>
      </c>
      <c r="H29" s="11" t="s">
        <v>92</v>
      </c>
      <c r="I29" s="11" t="s">
        <v>93</v>
      </c>
      <c r="J29" s="11" t="s">
        <v>94</v>
      </c>
    </row>
    <row r="30" spans="4:10" ht="18" x14ac:dyDescent="0.25">
      <c r="D30" s="46" t="s">
        <v>95</v>
      </c>
      <c r="E30" s="53" t="s">
        <v>24</v>
      </c>
      <c r="F30" s="53" t="s">
        <v>85</v>
      </c>
      <c r="G30" s="39">
        <f>IFERROR(VLOOKUP($E$30,Precios[],2,FALSE)," ")</f>
        <v>10</v>
      </c>
      <c r="H30" s="39">
        <f>IFERROR((G30*0.07)," ")</f>
        <v>0.70000000000000007</v>
      </c>
      <c r="I30" s="45"/>
      <c r="J30" s="39">
        <f>IFERROR(SUM(G30,H30)," ")</f>
        <v>10.7</v>
      </c>
    </row>
    <row r="31" spans="4:10" ht="18" x14ac:dyDescent="0.25">
      <c r="D31" s="48"/>
      <c r="E31" s="53" t="s">
        <v>15</v>
      </c>
      <c r="F31" s="53" t="s">
        <v>78</v>
      </c>
      <c r="G31" s="39">
        <f>IFERROR(VLOOKUP($E$31,Precios[],2,FALSE)," ")</f>
        <v>38</v>
      </c>
      <c r="H31" s="39">
        <f>IFERROR((G31*0.07)," ")</f>
        <v>2.66</v>
      </c>
      <c r="I31" s="49"/>
      <c r="J31" s="39">
        <f>IFERROR(SUM(G31,H31)," ")</f>
        <v>40.659999999999997</v>
      </c>
    </row>
    <row r="32" spans="4:10" x14ac:dyDescent="0.25">
      <c r="D32" s="52" t="s">
        <v>108</v>
      </c>
      <c r="E32" s="54" t="s">
        <v>95</v>
      </c>
      <c r="F32" s="54" t="s">
        <v>95</v>
      </c>
      <c r="G32" s="39" t="str">
        <f>IFERROR(VLOOKUP($E$32,Precios[],2,FALSE)," ")</f>
        <v xml:space="preserve"> </v>
      </c>
      <c r="H32" s="39" t="str">
        <f>IFERROR((G32*0.07)," ")</f>
        <v xml:space="preserve"> </v>
      </c>
      <c r="I32" s="55" t="s">
        <v>100</v>
      </c>
      <c r="J32" s="39">
        <f>IFERROR(SUM(G32,H32)," ")</f>
        <v>0</v>
      </c>
    </row>
    <row r="33" spans="4:10" ht="18" x14ac:dyDescent="0.25">
      <c r="D33" s="48"/>
      <c r="E33" s="53" t="s">
        <v>95</v>
      </c>
      <c r="F33" s="53" t="s">
        <v>95</v>
      </c>
      <c r="G33" s="39" t="str">
        <f>IFERROR(VLOOKUP($E$33,Precios[],2,FALSE)," ")</f>
        <v xml:space="preserve"> </v>
      </c>
      <c r="H33" s="39" t="str">
        <f>IFERROR((G33*0.07)," ")</f>
        <v xml:space="preserve"> </v>
      </c>
      <c r="I33" s="49"/>
      <c r="J33" s="39">
        <f>IFERROR(SUM(G33,H33)," ")</f>
        <v>0</v>
      </c>
    </row>
    <row r="34" spans="4:10" ht="18" x14ac:dyDescent="0.25">
      <c r="D34" s="47"/>
      <c r="E34" s="53" t="s">
        <v>95</v>
      </c>
      <c r="F34" s="53" t="s">
        <v>95</v>
      </c>
      <c r="G34" s="39" t="str">
        <f>IFERROR(VLOOKUP($E$34,Precios[],2,FALSE)," ")</f>
        <v xml:space="preserve"> </v>
      </c>
      <c r="H34" s="39" t="str">
        <f>IFERROR((G34*0.07)," ")</f>
        <v xml:space="preserve"> </v>
      </c>
      <c r="I34" s="44"/>
      <c r="J34" s="39">
        <f>IFERROR(SUM(G34,H34)," ")</f>
        <v>0</v>
      </c>
    </row>
    <row r="36" spans="4:10" ht="15.75" x14ac:dyDescent="0.25">
      <c r="I36" s="13" t="s">
        <v>94</v>
      </c>
      <c r="J36" s="40">
        <f>SUM(J30:J34)</f>
        <v>51.36</v>
      </c>
    </row>
    <row r="37" spans="4:10" ht="15.75" x14ac:dyDescent="0.25">
      <c r="I37" s="14"/>
      <c r="J37" s="43"/>
    </row>
    <row r="38" spans="4:10" ht="15.75" x14ac:dyDescent="0.25">
      <c r="I38" s="14"/>
      <c r="J38" s="43"/>
    </row>
    <row r="46" spans="4:10" ht="15.75" x14ac:dyDescent="0.25">
      <c r="D46" s="14"/>
      <c r="E46" s="14"/>
    </row>
    <row r="47" spans="4:10" ht="15.75" x14ac:dyDescent="0.25">
      <c r="D47" s="14"/>
      <c r="E47" s="14"/>
      <c r="F47" s="10"/>
      <c r="G47" s="10"/>
      <c r="H47" s="10"/>
    </row>
    <row r="48" spans="4:10" ht="18" x14ac:dyDescent="0.25">
      <c r="D48" s="56" t="s">
        <v>106</v>
      </c>
      <c r="E48" s="60"/>
      <c r="F48" s="2"/>
      <c r="G48" s="2"/>
      <c r="I48" s="67" t="s">
        <v>110</v>
      </c>
      <c r="J48" s="68">
        <v>2</v>
      </c>
    </row>
    <row r="49" spans="4:10" ht="18" x14ac:dyDescent="0.25">
      <c r="D49" s="11" t="s">
        <v>96</v>
      </c>
      <c r="E49" s="11" t="s">
        <v>6</v>
      </c>
      <c r="F49" s="11" t="s">
        <v>7</v>
      </c>
      <c r="G49" s="11" t="s">
        <v>91</v>
      </c>
      <c r="H49" s="11" t="s">
        <v>92</v>
      </c>
      <c r="I49" s="11" t="s">
        <v>93</v>
      </c>
      <c r="J49" s="11" t="s">
        <v>94</v>
      </c>
    </row>
    <row r="50" spans="4:10" ht="18" x14ac:dyDescent="0.25">
      <c r="D50" s="46" t="s">
        <v>95</v>
      </c>
      <c r="E50" s="53" t="s">
        <v>13</v>
      </c>
      <c r="F50" s="53" t="s">
        <v>84</v>
      </c>
      <c r="G50" s="39">
        <f>IFERROR(VLOOKUP($E$50,Precios[],2,FALSE)," ")</f>
        <v>16</v>
      </c>
      <c r="H50" s="39">
        <f>IFERROR((G50*0.07)," ")</f>
        <v>1.1200000000000001</v>
      </c>
      <c r="I50" s="45"/>
      <c r="J50" s="39">
        <f>IFERROR(SUM(G50,H50)," ")</f>
        <v>17.12</v>
      </c>
    </row>
    <row r="51" spans="4:10" ht="18" x14ac:dyDescent="0.25">
      <c r="D51" s="48"/>
      <c r="E51" s="53" t="s">
        <v>15</v>
      </c>
      <c r="F51" s="53" t="s">
        <v>78</v>
      </c>
      <c r="G51" s="39">
        <f>IFERROR(VLOOKUP($E$51,Precios[],2,FALSE)," ")</f>
        <v>38</v>
      </c>
      <c r="H51" s="39">
        <f>IFERROR((G51*0.07)," ")</f>
        <v>2.66</v>
      </c>
      <c r="I51" s="49"/>
      <c r="J51" s="39">
        <f>IFERROR(SUM(G51,H51)," ")</f>
        <v>40.659999999999997</v>
      </c>
    </row>
    <row r="52" spans="4:10" x14ac:dyDescent="0.25">
      <c r="D52" s="52" t="s">
        <v>111</v>
      </c>
      <c r="E52" s="54" t="s">
        <v>95</v>
      </c>
      <c r="F52" s="54" t="s">
        <v>95</v>
      </c>
      <c r="G52" s="39" t="str">
        <f>IFERROR(VLOOKUP($E$52,Precios[],2,FALSE)," ")</f>
        <v xml:space="preserve"> </v>
      </c>
      <c r="H52" s="39" t="str">
        <f>IFERROR((G52*0.07)," ")</f>
        <v xml:space="preserve"> </v>
      </c>
      <c r="I52" s="55" t="s">
        <v>101</v>
      </c>
      <c r="J52" s="39">
        <f>IFERROR(SUM(G52,H52)," ")</f>
        <v>0</v>
      </c>
    </row>
    <row r="53" spans="4:10" ht="18" x14ac:dyDescent="0.25">
      <c r="D53" s="48"/>
      <c r="E53" s="53" t="s">
        <v>95</v>
      </c>
      <c r="F53" s="53" t="s">
        <v>95</v>
      </c>
      <c r="G53" s="39" t="str">
        <f>IFERROR(VLOOKUP($E$53,Precios[],2,FALSE)," ")</f>
        <v xml:space="preserve"> </v>
      </c>
      <c r="H53" s="39" t="str">
        <f>IFERROR((G53*0.07)," ")</f>
        <v xml:space="preserve"> </v>
      </c>
      <c r="I53" s="49"/>
      <c r="J53" s="39">
        <f>IFERROR(SUM(G53,H53)," ")</f>
        <v>0</v>
      </c>
    </row>
    <row r="54" spans="4:10" ht="18" x14ac:dyDescent="0.25">
      <c r="D54" s="47"/>
      <c r="E54" s="53" t="s">
        <v>95</v>
      </c>
      <c r="F54" s="53" t="s">
        <v>95</v>
      </c>
      <c r="G54" s="39" t="str">
        <f>IFERROR(VLOOKUP($E$54,Precios[],2,FALSE)," ")</f>
        <v xml:space="preserve"> </v>
      </c>
      <c r="H54" s="39" t="str">
        <f>IFERROR((G54*0.07)," ")</f>
        <v xml:space="preserve"> </v>
      </c>
      <c r="I54" s="44"/>
      <c r="J54" s="39">
        <f>IFERROR(SUM(G54,H54)," ")</f>
        <v>0</v>
      </c>
    </row>
    <row r="56" spans="4:10" ht="15.75" x14ac:dyDescent="0.25">
      <c r="I56" s="13" t="s">
        <v>94</v>
      </c>
      <c r="J56" s="40">
        <f>SUM(J50:J54)</f>
        <v>57.78</v>
      </c>
    </row>
    <row r="57" spans="4:10" ht="15.75" x14ac:dyDescent="0.25">
      <c r="I57" s="14"/>
      <c r="J57" s="43"/>
    </row>
    <row r="58" spans="4:10" ht="15.75" x14ac:dyDescent="0.25">
      <c r="I58" s="14"/>
      <c r="J58" s="43"/>
    </row>
    <row r="66" spans="4:10" ht="15.75" x14ac:dyDescent="0.25">
      <c r="D66" s="14"/>
      <c r="E66" s="14"/>
    </row>
    <row r="67" spans="4:10" ht="15.75" x14ac:dyDescent="0.25">
      <c r="D67" s="14"/>
      <c r="E67" s="14"/>
      <c r="F67" s="10"/>
      <c r="G67" s="10"/>
      <c r="H67" s="10"/>
    </row>
    <row r="68" spans="4:10" ht="18" x14ac:dyDescent="0.25">
      <c r="D68" s="56" t="s">
        <v>106</v>
      </c>
      <c r="E68" s="60"/>
      <c r="F68" s="2"/>
      <c r="G68" s="2"/>
      <c r="I68" s="67" t="s">
        <v>110</v>
      </c>
      <c r="J68" s="68">
        <v>2</v>
      </c>
    </row>
    <row r="69" spans="4:10" ht="18" x14ac:dyDescent="0.25">
      <c r="D69" s="11" t="s">
        <v>96</v>
      </c>
      <c r="E69" s="11" t="s">
        <v>6</v>
      </c>
      <c r="F69" s="11" t="s">
        <v>7</v>
      </c>
      <c r="G69" s="11" t="s">
        <v>91</v>
      </c>
      <c r="H69" s="11" t="s">
        <v>92</v>
      </c>
      <c r="I69" s="11" t="s">
        <v>93</v>
      </c>
      <c r="J69" s="11" t="s">
        <v>94</v>
      </c>
    </row>
    <row r="70" spans="4:10" ht="18" x14ac:dyDescent="0.25">
      <c r="D70" s="46" t="s">
        <v>95</v>
      </c>
      <c r="E70" s="53" t="s">
        <v>13</v>
      </c>
      <c r="F70" s="53" t="s">
        <v>84</v>
      </c>
      <c r="G70" s="39">
        <f>IFERROR(VLOOKUP($E$70,Precios[],2,FALSE)," ")</f>
        <v>16</v>
      </c>
      <c r="H70" s="39">
        <f>IFERROR((G70*0.07)," ")</f>
        <v>1.1200000000000001</v>
      </c>
      <c r="I70" s="45"/>
      <c r="J70" s="39">
        <f>IFERROR(SUM(G70,H70)," ")</f>
        <v>17.12</v>
      </c>
    </row>
    <row r="71" spans="4:10" ht="18" x14ac:dyDescent="0.25">
      <c r="D71" s="48"/>
      <c r="E71" s="53" t="s">
        <v>95</v>
      </c>
      <c r="F71" s="53" t="s">
        <v>95</v>
      </c>
      <c r="G71" s="39" t="str">
        <f>IFERROR(VLOOKUP($E$71,Precios[],2,FALSE)," ")</f>
        <v xml:space="preserve"> </v>
      </c>
      <c r="H71" s="39" t="str">
        <f>IFERROR((G71*0.07)," ")</f>
        <v xml:space="preserve"> </v>
      </c>
      <c r="I71" s="49"/>
      <c r="J71" s="39">
        <f>IFERROR(SUM(G71,H71)," ")</f>
        <v>0</v>
      </c>
    </row>
    <row r="72" spans="4:10" x14ac:dyDescent="0.25">
      <c r="D72" s="52" t="s">
        <v>104</v>
      </c>
      <c r="E72" s="54" t="s">
        <v>95</v>
      </c>
      <c r="F72" s="54" t="s">
        <v>95</v>
      </c>
      <c r="G72" s="39" t="str">
        <f>IFERROR(VLOOKUP($E$72,Precios[],2,FALSE)," ")</f>
        <v xml:space="preserve"> </v>
      </c>
      <c r="H72" s="39" t="str">
        <f>IFERROR((G72*0.07)," ")</f>
        <v xml:space="preserve"> </v>
      </c>
      <c r="I72" s="55" t="s">
        <v>98</v>
      </c>
      <c r="J72" s="39">
        <f>IFERROR(SUM(G72,H72)," ")</f>
        <v>0</v>
      </c>
    </row>
    <row r="73" spans="4:10" ht="18" x14ac:dyDescent="0.25">
      <c r="D73" s="48"/>
      <c r="E73" s="53" t="s">
        <v>95</v>
      </c>
      <c r="F73" s="53" t="s">
        <v>95</v>
      </c>
      <c r="G73" s="39" t="str">
        <f>IFERROR(VLOOKUP($E$73,Precios[],2,FALSE)," ")</f>
        <v xml:space="preserve"> </v>
      </c>
      <c r="H73" s="39" t="str">
        <f>IFERROR((G73*0.07)," ")</f>
        <v xml:space="preserve"> </v>
      </c>
      <c r="I73" s="49"/>
      <c r="J73" s="39">
        <f>IFERROR(SUM(G73,H73)," ")</f>
        <v>0</v>
      </c>
    </row>
    <row r="74" spans="4:10" ht="18" x14ac:dyDescent="0.25">
      <c r="D74" s="47"/>
      <c r="E74" s="53" t="s">
        <v>95</v>
      </c>
      <c r="F74" s="53" t="s">
        <v>95</v>
      </c>
      <c r="G74" s="39" t="str">
        <f>IFERROR(VLOOKUP($E$74,Precios[],2,FALSE)," ")</f>
        <v xml:space="preserve"> </v>
      </c>
      <c r="H74" s="39" t="str">
        <f>IFERROR((G74*0.07)," ")</f>
        <v xml:space="preserve"> </v>
      </c>
      <c r="I74" s="44"/>
      <c r="J74" s="39">
        <f>IFERROR(SUM(G74,H74)," ")</f>
        <v>0</v>
      </c>
    </row>
    <row r="76" spans="4:10" ht="15.75" x14ac:dyDescent="0.25">
      <c r="I76" s="13" t="s">
        <v>94</v>
      </c>
      <c r="J76" s="40">
        <f>SUM(J70:J74)</f>
        <v>17.12</v>
      </c>
    </row>
    <row r="77" spans="4:10" ht="15.75" x14ac:dyDescent="0.25">
      <c r="I77" s="14"/>
      <c r="J77" s="43"/>
    </row>
    <row r="78" spans="4:10" ht="15.75" x14ac:dyDescent="0.25">
      <c r="I78" s="14"/>
      <c r="J78" s="43"/>
    </row>
    <row r="86" spans="4:10" ht="15.75" x14ac:dyDescent="0.25">
      <c r="D86" s="14"/>
      <c r="E86" s="14"/>
    </row>
    <row r="87" spans="4:10" ht="15.75" x14ac:dyDescent="0.25">
      <c r="D87" s="14"/>
      <c r="E87" s="14"/>
      <c r="F87" s="10"/>
      <c r="G87" s="10"/>
      <c r="H87" s="10"/>
    </row>
    <row r="88" spans="4:10" ht="18" x14ac:dyDescent="0.25">
      <c r="D88" s="56" t="s">
        <v>106</v>
      </c>
      <c r="E88" s="60"/>
      <c r="F88" s="2"/>
      <c r="G88" s="2"/>
      <c r="I88" s="67" t="s">
        <v>110</v>
      </c>
      <c r="J88" s="68">
        <v>2</v>
      </c>
    </row>
    <row r="89" spans="4:10" ht="18" x14ac:dyDescent="0.25">
      <c r="D89" s="11" t="s">
        <v>96</v>
      </c>
      <c r="E89" s="11" t="s">
        <v>6</v>
      </c>
      <c r="F89" s="11" t="s">
        <v>7</v>
      </c>
      <c r="G89" s="11" t="s">
        <v>91</v>
      </c>
      <c r="H89" s="11" t="s">
        <v>92</v>
      </c>
      <c r="I89" s="11" t="s">
        <v>93</v>
      </c>
      <c r="J89" s="11" t="s">
        <v>94</v>
      </c>
    </row>
    <row r="90" spans="4:10" ht="18" x14ac:dyDescent="0.25">
      <c r="D90" s="46" t="s">
        <v>95</v>
      </c>
      <c r="E90" s="53" t="s">
        <v>13</v>
      </c>
      <c r="F90" s="53" t="s">
        <v>84</v>
      </c>
      <c r="G90" s="39">
        <f>IFERROR(VLOOKUP($E$90,Precios[],2,FALSE)," ")</f>
        <v>16</v>
      </c>
      <c r="H90" s="39">
        <f>IFERROR((G90*0.07)," ")</f>
        <v>1.1200000000000001</v>
      </c>
      <c r="I90" s="45"/>
      <c r="J90" s="39">
        <f>IFERROR(SUM(G90,H90)," ")</f>
        <v>17.12</v>
      </c>
    </row>
    <row r="91" spans="4:10" ht="18" x14ac:dyDescent="0.25">
      <c r="D91" s="48"/>
      <c r="E91" s="53" t="s">
        <v>95</v>
      </c>
      <c r="F91" s="53" t="s">
        <v>95</v>
      </c>
      <c r="G91" s="39" t="str">
        <f>IFERROR(VLOOKUP($E$91,Precios[],2,FALSE)," ")</f>
        <v xml:space="preserve"> </v>
      </c>
      <c r="H91" s="39" t="str">
        <f>IFERROR((G91*0.07)," ")</f>
        <v xml:space="preserve"> </v>
      </c>
      <c r="I91" s="49"/>
      <c r="J91" s="39">
        <f>IFERROR(SUM(G91,H91)," ")</f>
        <v>0</v>
      </c>
    </row>
    <row r="92" spans="4:10" x14ac:dyDescent="0.25">
      <c r="D92" s="52" t="s">
        <v>104</v>
      </c>
      <c r="E92" s="54" t="s">
        <v>95</v>
      </c>
      <c r="F92" s="54" t="s">
        <v>95</v>
      </c>
      <c r="G92" s="39" t="str">
        <f>IFERROR(VLOOKUP($E$92,Precios[],2,FALSE)," ")</f>
        <v xml:space="preserve"> </v>
      </c>
      <c r="H92" s="39" t="str">
        <f>IFERROR((G92*0.07)," ")</f>
        <v xml:space="preserve"> </v>
      </c>
      <c r="I92" s="55" t="s">
        <v>98</v>
      </c>
      <c r="J92" s="39">
        <f>IFERROR(SUM(G92,H92)," ")</f>
        <v>0</v>
      </c>
    </row>
    <row r="93" spans="4:10" ht="18" x14ac:dyDescent="0.25">
      <c r="D93" s="48"/>
      <c r="E93" s="53" t="s">
        <v>95</v>
      </c>
      <c r="F93" s="53" t="s">
        <v>95</v>
      </c>
      <c r="G93" s="39" t="str">
        <f>IFERROR(VLOOKUP($E$93,Precios[],2,FALSE)," ")</f>
        <v xml:space="preserve"> </v>
      </c>
      <c r="H93" s="39" t="str">
        <f>IFERROR((G93*0.07)," ")</f>
        <v xml:space="preserve"> </v>
      </c>
      <c r="I93" s="49"/>
      <c r="J93" s="39">
        <f>IFERROR(SUM(G93,H93)," ")</f>
        <v>0</v>
      </c>
    </row>
    <row r="94" spans="4:10" ht="18" x14ac:dyDescent="0.25">
      <c r="D94" s="47"/>
      <c r="E94" s="53" t="s">
        <v>95</v>
      </c>
      <c r="F94" s="53" t="s">
        <v>95</v>
      </c>
      <c r="G94" s="39" t="str">
        <f>IFERROR(VLOOKUP($E$94,Precios[],2,FALSE)," ")</f>
        <v xml:space="preserve"> </v>
      </c>
      <c r="H94" s="39" t="str">
        <f>IFERROR((G94*0.07)," ")</f>
        <v xml:space="preserve"> </v>
      </c>
      <c r="I94" s="44"/>
      <c r="J94" s="39">
        <f>IFERROR(SUM(G94,H94)," ")</f>
        <v>0</v>
      </c>
    </row>
    <row r="96" spans="4:10" ht="15.75" x14ac:dyDescent="0.25">
      <c r="I96" s="13" t="s">
        <v>94</v>
      </c>
      <c r="J96" s="40">
        <f>SUM(J90:J94)</f>
        <v>17.12</v>
      </c>
    </row>
    <row r="97" spans="4:10" ht="15.75" x14ac:dyDescent="0.25">
      <c r="I97" s="14"/>
      <c r="J97" s="43"/>
    </row>
    <row r="98" spans="4:10" ht="15.75" x14ac:dyDescent="0.25">
      <c r="I98" s="14"/>
      <c r="J98" s="43"/>
    </row>
    <row r="106" spans="4:10" ht="15.75" x14ac:dyDescent="0.25">
      <c r="D106" s="14"/>
      <c r="E106" s="14"/>
    </row>
    <row r="107" spans="4:10" ht="15.75" x14ac:dyDescent="0.25">
      <c r="D107" s="14"/>
      <c r="E107" s="14"/>
      <c r="F107" s="10"/>
      <c r="G107" s="10"/>
      <c r="H107" s="10"/>
    </row>
    <row r="108" spans="4:10" ht="18" x14ac:dyDescent="0.25">
      <c r="D108" s="56" t="s">
        <v>106</v>
      </c>
      <c r="E108" s="60"/>
      <c r="F108" s="2"/>
      <c r="G108" s="2"/>
      <c r="I108" s="67" t="s">
        <v>110</v>
      </c>
      <c r="J108" s="68">
        <v>2</v>
      </c>
    </row>
    <row r="109" spans="4:10" ht="18" x14ac:dyDescent="0.25">
      <c r="D109" s="11" t="s">
        <v>96</v>
      </c>
      <c r="E109" s="11" t="s">
        <v>6</v>
      </c>
      <c r="F109" s="11" t="s">
        <v>7</v>
      </c>
      <c r="G109" s="11" t="s">
        <v>91</v>
      </c>
      <c r="H109" s="11" t="s">
        <v>92</v>
      </c>
      <c r="I109" s="11" t="s">
        <v>93</v>
      </c>
      <c r="J109" s="11" t="s">
        <v>94</v>
      </c>
    </row>
    <row r="110" spans="4:10" ht="18" x14ac:dyDescent="0.25">
      <c r="D110" s="46" t="s">
        <v>95</v>
      </c>
      <c r="E110" s="53" t="s">
        <v>13</v>
      </c>
      <c r="F110" s="53" t="s">
        <v>84</v>
      </c>
      <c r="G110" s="39">
        <f>IFERROR(VLOOKUP($E$110,Precios[],2,FALSE)," ")</f>
        <v>16</v>
      </c>
      <c r="H110" s="39">
        <f>IFERROR((G110*0.07)," ")</f>
        <v>1.1200000000000001</v>
      </c>
      <c r="I110" s="45"/>
      <c r="J110" s="39">
        <f>IFERROR(SUM(G110,H110)," ")</f>
        <v>17.12</v>
      </c>
    </row>
    <row r="111" spans="4:10" ht="18" x14ac:dyDescent="0.25">
      <c r="D111" s="48"/>
      <c r="E111" s="53" t="s">
        <v>95</v>
      </c>
      <c r="F111" s="53" t="s">
        <v>95</v>
      </c>
      <c r="G111" s="39" t="str">
        <f>IFERROR(VLOOKUP($E$111,Precios[],2,FALSE)," ")</f>
        <v xml:space="preserve"> </v>
      </c>
      <c r="H111" s="39" t="str">
        <f>IFERROR((G111*0.07)," ")</f>
        <v xml:space="preserve"> </v>
      </c>
      <c r="I111" s="49"/>
      <c r="J111" s="39">
        <f>IFERROR(SUM(G111,H111)," ")</f>
        <v>0</v>
      </c>
    </row>
    <row r="112" spans="4:10" x14ac:dyDescent="0.25">
      <c r="D112" s="52" t="s">
        <v>104</v>
      </c>
      <c r="E112" s="54" t="s">
        <v>95</v>
      </c>
      <c r="F112" s="54" t="s">
        <v>95</v>
      </c>
      <c r="G112" s="39" t="str">
        <f>IFERROR(VLOOKUP($E$112,Precios[],2,FALSE)," ")</f>
        <v xml:space="preserve"> </v>
      </c>
      <c r="H112" s="39" t="str">
        <f>IFERROR((G112*0.07)," ")</f>
        <v xml:space="preserve"> </v>
      </c>
      <c r="I112" s="55" t="s">
        <v>98</v>
      </c>
      <c r="J112" s="39">
        <f>IFERROR(SUM(G112,H112)," ")</f>
        <v>0</v>
      </c>
    </row>
    <row r="113" spans="4:10" ht="18" x14ac:dyDescent="0.25">
      <c r="D113" s="48"/>
      <c r="E113" s="53" t="s">
        <v>95</v>
      </c>
      <c r="F113" s="53" t="s">
        <v>95</v>
      </c>
      <c r="G113" s="39" t="str">
        <f>IFERROR(VLOOKUP($E$113,Precios[],2,FALSE)," ")</f>
        <v xml:space="preserve"> </v>
      </c>
      <c r="H113" s="39" t="str">
        <f>IFERROR((G113*0.07)," ")</f>
        <v xml:space="preserve"> </v>
      </c>
      <c r="I113" s="49"/>
      <c r="J113" s="39">
        <f>IFERROR(SUM(G113,H113)," ")</f>
        <v>0</v>
      </c>
    </row>
    <row r="114" spans="4:10" ht="18" x14ac:dyDescent="0.25">
      <c r="D114" s="47"/>
      <c r="E114" s="53" t="s">
        <v>95</v>
      </c>
      <c r="F114" s="53" t="s">
        <v>95</v>
      </c>
      <c r="G114" s="39" t="str">
        <f>IFERROR(VLOOKUP($E$114,Precios[],2,FALSE)," ")</f>
        <v xml:space="preserve"> </v>
      </c>
      <c r="H114" s="39" t="str">
        <f>IFERROR((G114*0.07)," ")</f>
        <v xml:space="preserve"> </v>
      </c>
      <c r="I114" s="44"/>
      <c r="J114" s="39">
        <f>IFERROR(SUM(G114,H114)," ")</f>
        <v>0</v>
      </c>
    </row>
    <row r="116" spans="4:10" ht="15.75" x14ac:dyDescent="0.25">
      <c r="I116" s="13" t="s">
        <v>94</v>
      </c>
      <c r="J116" s="40">
        <f>SUM(J110:J114)</f>
        <v>17.12</v>
      </c>
    </row>
    <row r="117" spans="4:10" ht="15.75" x14ac:dyDescent="0.25">
      <c r="I117" s="14"/>
      <c r="J117" s="43"/>
    </row>
    <row r="118" spans="4:10" ht="15.75" x14ac:dyDescent="0.25">
      <c r="I118" s="14"/>
      <c r="J118" s="43"/>
    </row>
    <row r="126" spans="4:10" ht="15.75" x14ac:dyDescent="0.25">
      <c r="D126" s="14"/>
      <c r="E126" s="14"/>
    </row>
    <row r="127" spans="4:10" ht="15.75" x14ac:dyDescent="0.25">
      <c r="D127" s="14"/>
      <c r="E127" s="14"/>
      <c r="F127" s="10"/>
      <c r="G127" s="10"/>
      <c r="H127" s="10"/>
    </row>
    <row r="128" spans="4:10" ht="18" x14ac:dyDescent="0.25">
      <c r="D128" s="56" t="s">
        <v>106</v>
      </c>
      <c r="E128" s="60"/>
      <c r="F128" s="2"/>
      <c r="G128" s="2"/>
      <c r="I128" s="67" t="s">
        <v>110</v>
      </c>
      <c r="J128" s="68">
        <v>2</v>
      </c>
    </row>
    <row r="129" spans="4:10" ht="18" x14ac:dyDescent="0.25">
      <c r="D129" s="11" t="s">
        <v>96</v>
      </c>
      <c r="E129" s="11" t="s">
        <v>6</v>
      </c>
      <c r="F129" s="11" t="s">
        <v>7</v>
      </c>
      <c r="G129" s="11" t="s">
        <v>91</v>
      </c>
      <c r="H129" s="11" t="s">
        <v>92</v>
      </c>
      <c r="I129" s="11" t="s">
        <v>93</v>
      </c>
      <c r="J129" s="11" t="s">
        <v>94</v>
      </c>
    </row>
    <row r="130" spans="4:10" ht="18" x14ac:dyDescent="0.25">
      <c r="D130" s="46" t="s">
        <v>95</v>
      </c>
      <c r="E130" s="53" t="s">
        <v>13</v>
      </c>
      <c r="F130" s="53" t="s">
        <v>84</v>
      </c>
      <c r="G130" s="39">
        <f>IFERROR(VLOOKUP($E$130,Precios[],2,FALSE)," ")</f>
        <v>16</v>
      </c>
      <c r="H130" s="39">
        <f>IFERROR((G130*0.07)," ")</f>
        <v>1.1200000000000001</v>
      </c>
      <c r="I130" s="45"/>
      <c r="J130" s="39">
        <f>IFERROR(SUM(G130,H130)," ")</f>
        <v>17.12</v>
      </c>
    </row>
    <row r="131" spans="4:10" ht="18" x14ac:dyDescent="0.25">
      <c r="D131" s="48"/>
      <c r="E131" s="53" t="s">
        <v>95</v>
      </c>
      <c r="F131" s="53" t="s">
        <v>95</v>
      </c>
      <c r="G131" s="39" t="str">
        <f>IFERROR(VLOOKUP($E$131,Precios[],2,FALSE)," ")</f>
        <v xml:space="preserve"> </v>
      </c>
      <c r="H131" s="39" t="str">
        <f>IFERROR((G131*0.07)," ")</f>
        <v xml:space="preserve"> </v>
      </c>
      <c r="I131" s="49"/>
      <c r="J131" s="39">
        <f>IFERROR(SUM(G131,H131)," ")</f>
        <v>0</v>
      </c>
    </row>
    <row r="132" spans="4:10" x14ac:dyDescent="0.25">
      <c r="D132" s="52" t="s">
        <v>104</v>
      </c>
      <c r="E132" s="54" t="s">
        <v>95</v>
      </c>
      <c r="F132" s="54" t="s">
        <v>95</v>
      </c>
      <c r="G132" s="39" t="str">
        <f>IFERROR(VLOOKUP($E$132,Precios[],2,FALSE)," ")</f>
        <v xml:space="preserve"> </v>
      </c>
      <c r="H132" s="39" t="str">
        <f>IFERROR((G132*0.07)," ")</f>
        <v xml:space="preserve"> </v>
      </c>
      <c r="I132" s="55" t="s">
        <v>98</v>
      </c>
      <c r="J132" s="39">
        <f>IFERROR(SUM(G132,H132)," ")</f>
        <v>0</v>
      </c>
    </row>
    <row r="133" spans="4:10" ht="18" x14ac:dyDescent="0.25">
      <c r="D133" s="48"/>
      <c r="E133" s="53" t="s">
        <v>95</v>
      </c>
      <c r="F133" s="53" t="s">
        <v>95</v>
      </c>
      <c r="G133" s="39" t="str">
        <f>IFERROR(VLOOKUP($E$133,Precios[],2,FALSE)," ")</f>
        <v xml:space="preserve"> </v>
      </c>
      <c r="H133" s="39" t="str">
        <f>IFERROR((G133*0.07)," ")</f>
        <v xml:space="preserve"> </v>
      </c>
      <c r="I133" s="49"/>
      <c r="J133" s="39">
        <f>IFERROR(SUM(G133,H133)," ")</f>
        <v>0</v>
      </c>
    </row>
    <row r="134" spans="4:10" ht="18" x14ac:dyDescent="0.25">
      <c r="D134" s="47"/>
      <c r="E134" s="53" t="s">
        <v>95</v>
      </c>
      <c r="F134" s="53" t="s">
        <v>95</v>
      </c>
      <c r="G134" s="39" t="str">
        <f>IFERROR(VLOOKUP($E$134,Precios[],2,FALSE)," ")</f>
        <v xml:space="preserve"> </v>
      </c>
      <c r="H134" s="39" t="str">
        <f>IFERROR((G134*0.07)," ")</f>
        <v xml:space="preserve"> </v>
      </c>
      <c r="I134" s="44"/>
      <c r="J134" s="39">
        <f>IFERROR(SUM(G134,H134)," ")</f>
        <v>0</v>
      </c>
    </row>
    <row r="136" spans="4:10" ht="15.75" x14ac:dyDescent="0.25">
      <c r="I136" s="13" t="s">
        <v>94</v>
      </c>
      <c r="J136" s="40">
        <f>SUM(J130:J134)</f>
        <v>17.12</v>
      </c>
    </row>
    <row r="137" spans="4:10" ht="15.75" x14ac:dyDescent="0.25">
      <c r="I137" s="14"/>
      <c r="J137" s="43"/>
    </row>
    <row r="138" spans="4:10" ht="15.75" x14ac:dyDescent="0.25">
      <c r="I138" s="14"/>
      <c r="J138" s="43"/>
    </row>
    <row r="146" spans="4:10" ht="15.75" x14ac:dyDescent="0.25">
      <c r="D146" s="14"/>
      <c r="E146" s="14"/>
    </row>
    <row r="147" spans="4:10" ht="15.75" x14ac:dyDescent="0.25">
      <c r="D147" s="14"/>
      <c r="E147" s="14"/>
      <c r="F147" s="10"/>
      <c r="G147" s="10"/>
      <c r="H147" s="10"/>
    </row>
    <row r="148" spans="4:10" ht="18" x14ac:dyDescent="0.25">
      <c r="D148" s="56" t="s">
        <v>106</v>
      </c>
      <c r="E148" s="60">
        <v>43781</v>
      </c>
      <c r="F148" s="2"/>
      <c r="G148" s="2"/>
      <c r="H148" s="2"/>
    </row>
    <row r="149" spans="4:10" ht="18" x14ac:dyDescent="0.25">
      <c r="D149" s="11" t="s">
        <v>96</v>
      </c>
      <c r="E149" s="11" t="s">
        <v>6</v>
      </c>
      <c r="F149" s="11" t="s">
        <v>7</v>
      </c>
      <c r="G149" s="11" t="s">
        <v>91</v>
      </c>
      <c r="H149" s="11" t="s">
        <v>92</v>
      </c>
      <c r="I149" s="11" t="s">
        <v>93</v>
      </c>
      <c r="J149" s="11" t="s">
        <v>94</v>
      </c>
    </row>
    <row r="150" spans="4:10" ht="18" x14ac:dyDescent="0.25">
      <c r="D150" s="46" t="s">
        <v>95</v>
      </c>
      <c r="E150" s="53" t="s">
        <v>13</v>
      </c>
      <c r="F150" s="53" t="s">
        <v>84</v>
      </c>
      <c r="G150" s="39">
        <f>IFERROR(VLOOKUP($E$150,Precios[],2,FALSE)," ")</f>
        <v>16</v>
      </c>
      <c r="H150" s="39">
        <f>IFERROR((G150*0.07)," ")</f>
        <v>1.1200000000000001</v>
      </c>
      <c r="I150" s="45"/>
      <c r="J150" s="39">
        <f>IFERROR(SUM(G150,H150)," ")</f>
        <v>17.12</v>
      </c>
    </row>
    <row r="151" spans="4:10" ht="18" x14ac:dyDescent="0.25">
      <c r="D151" s="48"/>
      <c r="E151" s="53" t="s">
        <v>95</v>
      </c>
      <c r="F151" s="53" t="s">
        <v>95</v>
      </c>
      <c r="G151" s="39" t="str">
        <f>IFERROR(VLOOKUP($E$151,Precios[],2,FALSE)," ")</f>
        <v xml:space="preserve"> </v>
      </c>
      <c r="H151" s="39" t="str">
        <f>IFERROR((G151*0.07)," ")</f>
        <v xml:space="preserve"> </v>
      </c>
      <c r="I151" s="49"/>
      <c r="J151" s="39">
        <f>IFERROR(SUM(G151,H151)," ")</f>
        <v>0</v>
      </c>
    </row>
    <row r="152" spans="4:10" x14ac:dyDescent="0.25">
      <c r="D152" s="52" t="s">
        <v>108</v>
      </c>
      <c r="E152" s="54" t="s">
        <v>95</v>
      </c>
      <c r="F152" s="54" t="s">
        <v>95</v>
      </c>
      <c r="G152" s="39" t="str">
        <f>IFERROR(VLOOKUP($E$152,Precios[],2,FALSE)," ")</f>
        <v xml:space="preserve"> </v>
      </c>
      <c r="H152" s="39" t="str">
        <f>IFERROR((G152*0.07)," ")</f>
        <v xml:space="preserve"> </v>
      </c>
      <c r="I152" s="55" t="s">
        <v>98</v>
      </c>
      <c r="J152" s="39">
        <f>IFERROR(SUM(G152,H152)," ")</f>
        <v>0</v>
      </c>
    </row>
    <row r="153" spans="4:10" ht="18" x14ac:dyDescent="0.25">
      <c r="D153" s="48"/>
      <c r="E153" s="53" t="s">
        <v>95</v>
      </c>
      <c r="F153" s="53" t="s">
        <v>95</v>
      </c>
      <c r="G153" s="39" t="str">
        <f>IFERROR(VLOOKUP($E$153,Precios[],2,FALSE)," ")</f>
        <v xml:space="preserve"> </v>
      </c>
      <c r="H153" s="39" t="str">
        <f>IFERROR((G153*0.07)," ")</f>
        <v xml:space="preserve"> </v>
      </c>
      <c r="I153" s="49"/>
      <c r="J153" s="39">
        <f>IFERROR(SUM(G153,H153)," ")</f>
        <v>0</v>
      </c>
    </row>
    <row r="154" spans="4:10" ht="18" x14ac:dyDescent="0.25">
      <c r="D154" s="47"/>
      <c r="E154" s="53" t="s">
        <v>95</v>
      </c>
      <c r="F154" s="53" t="s">
        <v>95</v>
      </c>
      <c r="G154" s="39" t="str">
        <f>IFERROR(VLOOKUP($E$154,Precios[],2,FALSE)," ")</f>
        <v xml:space="preserve"> </v>
      </c>
      <c r="H154" s="39" t="str">
        <f>IFERROR((G154*0.07)," ")</f>
        <v xml:space="preserve"> </v>
      </c>
      <c r="I154" s="44"/>
      <c r="J154" s="39">
        <f>IFERROR(SUM(G154,H154)," ")</f>
        <v>0</v>
      </c>
    </row>
    <row r="156" spans="4:10" ht="15.75" x14ac:dyDescent="0.25">
      <c r="I156" s="13" t="s">
        <v>94</v>
      </c>
      <c r="J156" s="40">
        <f>SUM(J150:J154)</f>
        <v>17.12</v>
      </c>
    </row>
    <row r="157" spans="4:10" ht="15.75" x14ac:dyDescent="0.25">
      <c r="I157" s="14"/>
      <c r="J157" s="43"/>
    </row>
    <row r="158" spans="4:10" ht="15.75" x14ac:dyDescent="0.25">
      <c r="I158" s="14"/>
      <c r="J158" s="43"/>
    </row>
    <row r="166" spans="4:10" ht="15.75" x14ac:dyDescent="0.25">
      <c r="D166" s="14"/>
      <c r="E166" s="14"/>
    </row>
    <row r="167" spans="4:10" ht="15.75" x14ac:dyDescent="0.25">
      <c r="D167" s="14"/>
      <c r="E167" s="14"/>
      <c r="F167" s="10"/>
      <c r="G167" s="10"/>
      <c r="H167" s="10"/>
    </row>
    <row r="168" spans="4:10" ht="18" x14ac:dyDescent="0.25">
      <c r="D168" s="56" t="s">
        <v>106</v>
      </c>
      <c r="E168" s="60">
        <v>43781</v>
      </c>
      <c r="F168" s="2"/>
      <c r="G168" s="2"/>
      <c r="H168" s="2"/>
    </row>
    <row r="169" spans="4:10" ht="18" x14ac:dyDescent="0.25">
      <c r="D169" s="11" t="s">
        <v>96</v>
      </c>
      <c r="E169" s="11" t="s">
        <v>6</v>
      </c>
      <c r="F169" s="11" t="s">
        <v>7</v>
      </c>
      <c r="G169" s="11" t="s">
        <v>91</v>
      </c>
      <c r="H169" s="11" t="s">
        <v>92</v>
      </c>
      <c r="I169" s="11" t="s">
        <v>93</v>
      </c>
      <c r="J169" s="11" t="s">
        <v>94</v>
      </c>
    </row>
    <row r="170" spans="4:10" ht="18" x14ac:dyDescent="0.25">
      <c r="D170" s="46" t="s">
        <v>95</v>
      </c>
      <c r="E170" s="53" t="s">
        <v>13</v>
      </c>
      <c r="F170" s="53" t="s">
        <v>84</v>
      </c>
      <c r="G170" s="39">
        <f>IFERROR(VLOOKUP($E$170,Precios[],2,FALSE)," ")</f>
        <v>16</v>
      </c>
      <c r="H170" s="39">
        <f>IFERROR((G170*0.07)," ")</f>
        <v>1.1200000000000001</v>
      </c>
      <c r="I170" s="45"/>
      <c r="J170" s="39">
        <f>IFERROR(SUM(G170,H170)," ")</f>
        <v>17.12</v>
      </c>
    </row>
    <row r="171" spans="4:10" ht="18" x14ac:dyDescent="0.25">
      <c r="D171" s="48"/>
      <c r="E171" s="53" t="s">
        <v>95</v>
      </c>
      <c r="F171" s="53" t="s">
        <v>95</v>
      </c>
      <c r="G171" s="39" t="str">
        <f>IFERROR(VLOOKUP($E$171,Precios[],2,FALSE)," ")</f>
        <v xml:space="preserve"> </v>
      </c>
      <c r="H171" s="39" t="str">
        <f>IFERROR((G171*0.07)," ")</f>
        <v xml:space="preserve"> </v>
      </c>
      <c r="I171" s="49"/>
      <c r="J171" s="39">
        <f>IFERROR(SUM(G171,H171)," ")</f>
        <v>0</v>
      </c>
    </row>
    <row r="172" spans="4:10" x14ac:dyDescent="0.25">
      <c r="D172" s="52" t="s">
        <v>108</v>
      </c>
      <c r="E172" s="54" t="s">
        <v>95</v>
      </c>
      <c r="F172" s="54" t="s">
        <v>95</v>
      </c>
      <c r="G172" s="39" t="str">
        <f>IFERROR(VLOOKUP($E$172,Precios[],2,FALSE)," ")</f>
        <v xml:space="preserve"> </v>
      </c>
      <c r="H172" s="39" t="str">
        <f>IFERROR((G172*0.07)," ")</f>
        <v xml:space="preserve"> </v>
      </c>
      <c r="I172" s="55" t="s">
        <v>98</v>
      </c>
      <c r="J172" s="39">
        <f>IFERROR(SUM(G172,H172)," ")</f>
        <v>0</v>
      </c>
    </row>
    <row r="173" spans="4:10" ht="18" x14ac:dyDescent="0.25">
      <c r="D173" s="48"/>
      <c r="E173" s="53" t="s">
        <v>95</v>
      </c>
      <c r="F173" s="53" t="s">
        <v>95</v>
      </c>
      <c r="G173" s="39" t="str">
        <f>IFERROR(VLOOKUP($E$173,Precios[],2,FALSE)," ")</f>
        <v xml:space="preserve"> </v>
      </c>
      <c r="H173" s="39" t="str">
        <f>IFERROR((G173*0.07)," ")</f>
        <v xml:space="preserve"> </v>
      </c>
      <c r="I173" s="49"/>
      <c r="J173" s="39">
        <f>IFERROR(SUM(G173,H173)," ")</f>
        <v>0</v>
      </c>
    </row>
    <row r="174" spans="4:10" ht="18" x14ac:dyDescent="0.25">
      <c r="D174" s="47"/>
      <c r="E174" s="53" t="s">
        <v>95</v>
      </c>
      <c r="F174" s="53" t="s">
        <v>95</v>
      </c>
      <c r="G174" s="39" t="str">
        <f>IFERROR(VLOOKUP($E$174,Precios[],2,FALSE)," ")</f>
        <v xml:space="preserve"> </v>
      </c>
      <c r="H174" s="39" t="str">
        <f>IFERROR((G174*0.07)," ")</f>
        <v xml:space="preserve"> </v>
      </c>
      <c r="I174" s="44"/>
      <c r="J174" s="39">
        <f>IFERROR(SUM(G174,H174)," ")</f>
        <v>0</v>
      </c>
    </row>
    <row r="176" spans="4:10" ht="15.75" x14ac:dyDescent="0.25">
      <c r="I176" s="13" t="s">
        <v>94</v>
      </c>
      <c r="J176" s="40">
        <f>SUM(J170:J174)</f>
        <v>17.12</v>
      </c>
    </row>
    <row r="177" spans="4:10" ht="15.75" x14ac:dyDescent="0.25">
      <c r="I177" s="14"/>
      <c r="J177" s="43"/>
    </row>
    <row r="178" spans="4:10" ht="15.75" x14ac:dyDescent="0.25">
      <c r="I178" s="14"/>
      <c r="J178" s="43"/>
    </row>
    <row r="186" spans="4:10" ht="15.75" x14ac:dyDescent="0.25">
      <c r="D186" s="14"/>
      <c r="E186" s="14"/>
    </row>
    <row r="187" spans="4:10" ht="15.75" x14ac:dyDescent="0.25">
      <c r="D187" s="14"/>
      <c r="E187" s="14"/>
      <c r="F187" s="10"/>
      <c r="G187" s="10"/>
      <c r="H187" s="10"/>
    </row>
    <row r="188" spans="4:10" ht="18" x14ac:dyDescent="0.25">
      <c r="D188" s="56" t="s">
        <v>106</v>
      </c>
      <c r="E188" s="60">
        <v>43781</v>
      </c>
      <c r="F188" s="2"/>
      <c r="G188" s="2"/>
      <c r="H188" s="2"/>
    </row>
    <row r="189" spans="4:10" ht="18" x14ac:dyDescent="0.25">
      <c r="D189" s="11" t="s">
        <v>96</v>
      </c>
      <c r="E189" s="11" t="s">
        <v>6</v>
      </c>
      <c r="F189" s="11" t="s">
        <v>7</v>
      </c>
      <c r="G189" s="11" t="s">
        <v>91</v>
      </c>
      <c r="H189" s="11" t="s">
        <v>92</v>
      </c>
      <c r="I189" s="11" t="s">
        <v>93</v>
      </c>
      <c r="J189" s="11" t="s">
        <v>94</v>
      </c>
    </row>
    <row r="190" spans="4:10" ht="18" x14ac:dyDescent="0.25">
      <c r="D190" s="46" t="s">
        <v>95</v>
      </c>
      <c r="E190" s="53" t="s">
        <v>13</v>
      </c>
      <c r="F190" s="53" t="s">
        <v>84</v>
      </c>
      <c r="G190" s="39">
        <f>IFERROR(VLOOKUP($E$190,Precios[],2,FALSE)," ")</f>
        <v>16</v>
      </c>
      <c r="H190" s="39">
        <f>IFERROR((G190*0.07)," ")</f>
        <v>1.1200000000000001</v>
      </c>
      <c r="I190" s="45"/>
      <c r="J190" s="39">
        <f>IFERROR(SUM(G190,H190)," ")</f>
        <v>17.12</v>
      </c>
    </row>
    <row r="191" spans="4:10" ht="18" x14ac:dyDescent="0.25">
      <c r="D191" s="48"/>
      <c r="E191" s="53" t="s">
        <v>95</v>
      </c>
      <c r="F191" s="53" t="s">
        <v>95</v>
      </c>
      <c r="G191" s="39" t="str">
        <f>IFERROR(VLOOKUP($E$191,Precios[],2,FALSE)," ")</f>
        <v xml:space="preserve"> </v>
      </c>
      <c r="H191" s="39" t="str">
        <f>IFERROR((G191*0.07)," ")</f>
        <v xml:space="preserve"> </v>
      </c>
      <c r="I191" s="49"/>
      <c r="J191" s="39">
        <f>IFERROR(SUM(G191,H191)," ")</f>
        <v>0</v>
      </c>
    </row>
    <row r="192" spans="4:10" x14ac:dyDescent="0.25">
      <c r="D192" s="52" t="s">
        <v>108</v>
      </c>
      <c r="E192" s="54" t="s">
        <v>95</v>
      </c>
      <c r="F192" s="54" t="s">
        <v>95</v>
      </c>
      <c r="G192" s="39" t="str">
        <f>IFERROR(VLOOKUP($E$192,Precios[],2,FALSE)," ")</f>
        <v xml:space="preserve"> </v>
      </c>
      <c r="H192" s="39" t="str">
        <f>IFERROR((G192*0.07)," ")</f>
        <v xml:space="preserve"> </v>
      </c>
      <c r="I192" s="55" t="s">
        <v>98</v>
      </c>
      <c r="J192" s="39">
        <f>IFERROR(SUM(G192,H192)," ")</f>
        <v>0</v>
      </c>
    </row>
    <row r="193" spans="4:10" ht="18" x14ac:dyDescent="0.25">
      <c r="D193" s="48"/>
      <c r="E193" s="53" t="s">
        <v>95</v>
      </c>
      <c r="F193" s="53" t="s">
        <v>95</v>
      </c>
      <c r="G193" s="39" t="str">
        <f>IFERROR(VLOOKUP($E$193,Precios[],2,FALSE)," ")</f>
        <v xml:space="preserve"> </v>
      </c>
      <c r="H193" s="39" t="str">
        <f>IFERROR((G193*0.07)," ")</f>
        <v xml:space="preserve"> </v>
      </c>
      <c r="I193" s="49"/>
      <c r="J193" s="39">
        <f>IFERROR(SUM(G193,H193)," ")</f>
        <v>0</v>
      </c>
    </row>
    <row r="194" spans="4:10" ht="18" x14ac:dyDescent="0.25">
      <c r="D194" s="47"/>
      <c r="E194" s="53" t="s">
        <v>95</v>
      </c>
      <c r="F194" s="53" t="s">
        <v>95</v>
      </c>
      <c r="G194" s="39" t="str">
        <f>IFERROR(VLOOKUP($E$194,Precios[],2,FALSE)," ")</f>
        <v xml:space="preserve"> </v>
      </c>
      <c r="H194" s="39" t="str">
        <f>IFERROR((G194*0.07)," ")</f>
        <v xml:space="preserve"> </v>
      </c>
      <c r="I194" s="44"/>
      <c r="J194" s="39">
        <f>IFERROR(SUM(G194,H194)," ")</f>
        <v>0</v>
      </c>
    </row>
    <row r="196" spans="4:10" ht="15.75" x14ac:dyDescent="0.25">
      <c r="I196" s="13" t="s">
        <v>94</v>
      </c>
      <c r="J196" s="40">
        <f>SUM(J190:J194)</f>
        <v>17.12</v>
      </c>
    </row>
    <row r="197" spans="4:10" ht="15.75" x14ac:dyDescent="0.25">
      <c r="I197" s="14"/>
      <c r="J197" s="43"/>
    </row>
    <row r="198" spans="4:10" ht="15.75" x14ac:dyDescent="0.25">
      <c r="I198" s="14"/>
      <c r="J198" s="43"/>
    </row>
    <row r="206" spans="4:10" ht="15.75" x14ac:dyDescent="0.25">
      <c r="D206" s="14"/>
      <c r="E206" s="14"/>
    </row>
    <row r="207" spans="4:10" ht="15.75" x14ac:dyDescent="0.25">
      <c r="D207" s="14"/>
      <c r="E207" s="14"/>
      <c r="F207" s="10"/>
      <c r="G207" s="10"/>
      <c r="H207" s="10"/>
    </row>
    <row r="208" spans="4:10" ht="18" x14ac:dyDescent="0.25">
      <c r="D208" s="56" t="s">
        <v>106</v>
      </c>
      <c r="E208" s="60">
        <v>43781</v>
      </c>
      <c r="F208" s="2"/>
      <c r="G208" s="2"/>
      <c r="H208" s="2"/>
    </row>
    <row r="209" spans="4:10" ht="18" x14ac:dyDescent="0.25">
      <c r="D209" s="11" t="s">
        <v>96</v>
      </c>
      <c r="E209" s="11" t="s">
        <v>6</v>
      </c>
      <c r="F209" s="11" t="s">
        <v>7</v>
      </c>
      <c r="G209" s="11" t="s">
        <v>91</v>
      </c>
      <c r="H209" s="11" t="s">
        <v>92</v>
      </c>
      <c r="I209" s="11" t="s">
        <v>93</v>
      </c>
      <c r="J209" s="11" t="s">
        <v>94</v>
      </c>
    </row>
    <row r="210" spans="4:10" ht="18" x14ac:dyDescent="0.25">
      <c r="D210" s="46" t="s">
        <v>95</v>
      </c>
      <c r="E210" s="53" t="s">
        <v>13</v>
      </c>
      <c r="F210" s="53" t="s">
        <v>84</v>
      </c>
      <c r="G210" s="39">
        <f>IFERROR(VLOOKUP($E$210,Precios[],2,FALSE)," ")</f>
        <v>16</v>
      </c>
      <c r="H210" s="39">
        <f>IFERROR((G210*0.07)," ")</f>
        <v>1.1200000000000001</v>
      </c>
      <c r="I210" s="45"/>
      <c r="J210" s="39">
        <f>IFERROR(SUM(G210,H210)," ")</f>
        <v>17.12</v>
      </c>
    </row>
    <row r="211" spans="4:10" ht="18" x14ac:dyDescent="0.25">
      <c r="D211" s="48"/>
      <c r="E211" s="53" t="s">
        <v>95</v>
      </c>
      <c r="F211" s="53" t="s">
        <v>95</v>
      </c>
      <c r="G211" s="39" t="str">
        <f>IFERROR(VLOOKUP($E$211,Precios[],2,FALSE)," ")</f>
        <v xml:space="preserve"> </v>
      </c>
      <c r="H211" s="39" t="str">
        <f>IFERROR((G211*0.07)," ")</f>
        <v xml:space="preserve"> </v>
      </c>
      <c r="I211" s="49"/>
      <c r="J211" s="39">
        <f>IFERROR(SUM(G211,H211)," ")</f>
        <v>0</v>
      </c>
    </row>
    <row r="212" spans="4:10" x14ac:dyDescent="0.25">
      <c r="D212" s="52" t="s">
        <v>108</v>
      </c>
      <c r="E212" s="54" t="s">
        <v>95</v>
      </c>
      <c r="F212" s="54" t="s">
        <v>95</v>
      </c>
      <c r="G212" s="39" t="str">
        <f>IFERROR(VLOOKUP($E$212,Precios[],2,FALSE)," ")</f>
        <v xml:space="preserve"> </v>
      </c>
      <c r="H212" s="39" t="str">
        <f>IFERROR((G212*0.07)," ")</f>
        <v xml:space="preserve"> </v>
      </c>
      <c r="I212" s="55" t="s">
        <v>98</v>
      </c>
      <c r="J212" s="39">
        <f>IFERROR(SUM(G212,H212)," ")</f>
        <v>0</v>
      </c>
    </row>
    <row r="213" spans="4:10" ht="18" x14ac:dyDescent="0.25">
      <c r="D213" s="48"/>
      <c r="E213" s="53" t="s">
        <v>95</v>
      </c>
      <c r="F213" s="53" t="s">
        <v>95</v>
      </c>
      <c r="G213" s="39" t="str">
        <f>IFERROR(VLOOKUP($E$213,Precios[],2,FALSE)," ")</f>
        <v xml:space="preserve"> </v>
      </c>
      <c r="H213" s="39" t="str">
        <f>IFERROR((G213*0.07)," ")</f>
        <v xml:space="preserve"> </v>
      </c>
      <c r="I213" s="49"/>
      <c r="J213" s="39">
        <f>IFERROR(SUM(G213,H213)," ")</f>
        <v>0</v>
      </c>
    </row>
    <row r="214" spans="4:10" ht="18" x14ac:dyDescent="0.25">
      <c r="D214" s="47"/>
      <c r="E214" s="53" t="s">
        <v>95</v>
      </c>
      <c r="F214" s="53" t="s">
        <v>95</v>
      </c>
      <c r="G214" s="39" t="str">
        <f>IFERROR(VLOOKUP($E$214,Precios[],2,FALSE)," ")</f>
        <v xml:space="preserve"> </v>
      </c>
      <c r="H214" s="39" t="str">
        <f>IFERROR((G214*0.07)," ")</f>
        <v xml:space="preserve"> </v>
      </c>
      <c r="I214" s="44"/>
      <c r="J214" s="39">
        <f>IFERROR(SUM(G214,H214)," ")</f>
        <v>0</v>
      </c>
    </row>
    <row r="216" spans="4:10" ht="15.75" x14ac:dyDescent="0.25">
      <c r="I216" s="13" t="s">
        <v>94</v>
      </c>
      <c r="J216" s="40">
        <f>SUM(J210:J214)</f>
        <v>17.12</v>
      </c>
    </row>
    <row r="217" spans="4:10" ht="15.75" x14ac:dyDescent="0.25">
      <c r="I217" s="14"/>
      <c r="J217" s="43"/>
    </row>
    <row r="218" spans="4:10" ht="15.75" x14ac:dyDescent="0.25">
      <c r="I218" s="14"/>
      <c r="J218" s="43"/>
    </row>
    <row r="226" spans="4:10" ht="15.75" x14ac:dyDescent="0.25">
      <c r="D226" s="14"/>
      <c r="E226" s="14"/>
    </row>
    <row r="227" spans="4:10" ht="15.75" x14ac:dyDescent="0.25">
      <c r="D227" s="14"/>
      <c r="E227" s="14"/>
      <c r="F227" s="10"/>
      <c r="G227" s="10"/>
      <c r="H227" s="10"/>
    </row>
    <row r="228" spans="4:10" ht="18" x14ac:dyDescent="0.25">
      <c r="D228" s="56" t="s">
        <v>106</v>
      </c>
      <c r="E228" s="60">
        <v>43781</v>
      </c>
      <c r="F228" s="2"/>
      <c r="G228" s="2"/>
      <c r="H228" s="2"/>
    </row>
    <row r="229" spans="4:10" ht="18" x14ac:dyDescent="0.25">
      <c r="D229" s="11" t="s">
        <v>96</v>
      </c>
      <c r="E229" s="11" t="s">
        <v>6</v>
      </c>
      <c r="F229" s="11" t="s">
        <v>7</v>
      </c>
      <c r="G229" s="11" t="s">
        <v>91</v>
      </c>
      <c r="H229" s="11" t="s">
        <v>92</v>
      </c>
      <c r="I229" s="11" t="s">
        <v>93</v>
      </c>
      <c r="J229" s="11" t="s">
        <v>94</v>
      </c>
    </row>
    <row r="230" spans="4:10" ht="18" x14ac:dyDescent="0.25">
      <c r="D230" s="46" t="s">
        <v>95</v>
      </c>
      <c r="E230" s="53" t="s">
        <v>13</v>
      </c>
      <c r="F230" s="53" t="s">
        <v>84</v>
      </c>
      <c r="G230" s="39">
        <f>IFERROR(VLOOKUP($E$230,Precios[],2,FALSE)," ")</f>
        <v>16</v>
      </c>
      <c r="H230" s="39">
        <f>IFERROR((G230*0.07)," ")</f>
        <v>1.1200000000000001</v>
      </c>
      <c r="I230" s="45"/>
      <c r="J230" s="39">
        <f>IFERROR(SUM(G230,H230)," ")</f>
        <v>17.12</v>
      </c>
    </row>
    <row r="231" spans="4:10" ht="18" x14ac:dyDescent="0.25">
      <c r="D231" s="48"/>
      <c r="E231" s="53" t="s">
        <v>95</v>
      </c>
      <c r="F231" s="53" t="s">
        <v>95</v>
      </c>
      <c r="G231" s="39" t="str">
        <f>IFERROR(VLOOKUP($E$231,Precios[],2,FALSE)," ")</f>
        <v xml:space="preserve"> </v>
      </c>
      <c r="H231" s="39" t="str">
        <f>IFERROR((G231*0.07)," ")</f>
        <v xml:space="preserve"> </v>
      </c>
      <c r="I231" s="49"/>
      <c r="J231" s="39">
        <f>IFERROR(SUM(G231,H231)," ")</f>
        <v>0</v>
      </c>
    </row>
    <row r="232" spans="4:10" x14ac:dyDescent="0.25">
      <c r="D232" s="52" t="s">
        <v>108</v>
      </c>
      <c r="E232" s="54" t="s">
        <v>95</v>
      </c>
      <c r="F232" s="54" t="s">
        <v>95</v>
      </c>
      <c r="G232" s="39" t="str">
        <f>IFERROR(VLOOKUP($E$232,Precios[],2,FALSE)," ")</f>
        <v xml:space="preserve"> </v>
      </c>
      <c r="H232" s="39" t="str">
        <f>IFERROR((G232*0.07)," ")</f>
        <v xml:space="preserve"> </v>
      </c>
      <c r="I232" s="55" t="s">
        <v>98</v>
      </c>
      <c r="J232" s="39">
        <f>IFERROR(SUM(G232,H232)," ")</f>
        <v>0</v>
      </c>
    </row>
    <row r="233" spans="4:10" ht="18" x14ac:dyDescent="0.25">
      <c r="D233" s="48"/>
      <c r="E233" s="53" t="s">
        <v>95</v>
      </c>
      <c r="F233" s="53" t="s">
        <v>95</v>
      </c>
      <c r="G233" s="39" t="str">
        <f>IFERROR(VLOOKUP($E$233,Precios[],2,FALSE)," ")</f>
        <v xml:space="preserve"> </v>
      </c>
      <c r="H233" s="39" t="str">
        <f>IFERROR((G233*0.07)," ")</f>
        <v xml:space="preserve"> </v>
      </c>
      <c r="I233" s="49"/>
      <c r="J233" s="39">
        <f>IFERROR(SUM(G233,H233)," ")</f>
        <v>0</v>
      </c>
    </row>
    <row r="234" spans="4:10" ht="18" x14ac:dyDescent="0.25">
      <c r="D234" s="47"/>
      <c r="E234" s="53" t="s">
        <v>95</v>
      </c>
      <c r="F234" s="53" t="s">
        <v>95</v>
      </c>
      <c r="G234" s="39" t="str">
        <f>IFERROR(VLOOKUP($E$234,Precios[],2,FALSE)," ")</f>
        <v xml:space="preserve"> </v>
      </c>
      <c r="H234" s="39" t="str">
        <f>IFERROR((G234*0.07)," ")</f>
        <v xml:space="preserve"> </v>
      </c>
      <c r="I234" s="44"/>
      <c r="J234" s="39">
        <f>IFERROR(SUM(G234,H234)," ")</f>
        <v>0</v>
      </c>
    </row>
    <row r="236" spans="4:10" ht="15.75" x14ac:dyDescent="0.25">
      <c r="I236" s="13" t="s">
        <v>94</v>
      </c>
      <c r="J236" s="40">
        <f>SUM(J230:J234)</f>
        <v>17.12</v>
      </c>
    </row>
    <row r="237" spans="4:10" ht="15.75" x14ac:dyDescent="0.25">
      <c r="I237" s="14"/>
      <c r="J237" s="43"/>
    </row>
    <row r="238" spans="4:10" ht="15.75" x14ac:dyDescent="0.25">
      <c r="I238" s="14"/>
      <c r="J238" s="43"/>
    </row>
    <row r="246" spans="4:10" ht="15.75" x14ac:dyDescent="0.25">
      <c r="D246" s="14"/>
      <c r="E246" s="14"/>
    </row>
    <row r="247" spans="4:10" ht="15.75" x14ac:dyDescent="0.25">
      <c r="D247" s="14"/>
      <c r="E247" s="14"/>
      <c r="F247" s="10"/>
      <c r="G247" s="10"/>
      <c r="H247" s="10"/>
    </row>
    <row r="248" spans="4:10" ht="18" x14ac:dyDescent="0.25">
      <c r="D248" s="56" t="s">
        <v>106</v>
      </c>
      <c r="E248" s="60">
        <v>43781</v>
      </c>
      <c r="F248" s="2"/>
      <c r="G248" s="2"/>
      <c r="H248" s="2"/>
    </row>
    <row r="249" spans="4:10" ht="18" x14ac:dyDescent="0.25">
      <c r="D249" s="11" t="s">
        <v>96</v>
      </c>
      <c r="E249" s="11" t="s">
        <v>6</v>
      </c>
      <c r="F249" s="11" t="s">
        <v>7</v>
      </c>
      <c r="G249" s="11" t="s">
        <v>91</v>
      </c>
      <c r="H249" s="11" t="s">
        <v>92</v>
      </c>
      <c r="I249" s="11" t="s">
        <v>93</v>
      </c>
      <c r="J249" s="11" t="s">
        <v>94</v>
      </c>
    </row>
    <row r="250" spans="4:10" ht="18" x14ac:dyDescent="0.25">
      <c r="D250" s="46" t="s">
        <v>95</v>
      </c>
      <c r="E250" s="53" t="s">
        <v>13</v>
      </c>
      <c r="F250" s="53" t="s">
        <v>84</v>
      </c>
      <c r="G250" s="39">
        <f>IFERROR(VLOOKUP($E$250,Precios[],2,FALSE)," ")</f>
        <v>16</v>
      </c>
      <c r="H250" s="39">
        <f>IFERROR((G250*0.07)," ")</f>
        <v>1.1200000000000001</v>
      </c>
      <c r="I250" s="45"/>
      <c r="J250" s="39">
        <f>IFERROR(SUM(G250,H250)," ")</f>
        <v>17.12</v>
      </c>
    </row>
    <row r="251" spans="4:10" ht="18" x14ac:dyDescent="0.25">
      <c r="D251" s="48"/>
      <c r="E251" s="53" t="s">
        <v>95</v>
      </c>
      <c r="F251" s="53" t="s">
        <v>95</v>
      </c>
      <c r="G251" s="39" t="str">
        <f>IFERROR(VLOOKUP($E$251,Precios[],2,FALSE)," ")</f>
        <v xml:space="preserve"> </v>
      </c>
      <c r="H251" s="39" t="str">
        <f>IFERROR((G251*0.07)," ")</f>
        <v xml:space="preserve"> </v>
      </c>
      <c r="I251" s="49"/>
      <c r="J251" s="39">
        <f>IFERROR(SUM(G251,H251)," ")</f>
        <v>0</v>
      </c>
    </row>
    <row r="252" spans="4:10" x14ac:dyDescent="0.25">
      <c r="D252" s="52" t="s">
        <v>108</v>
      </c>
      <c r="E252" s="54" t="s">
        <v>95</v>
      </c>
      <c r="F252" s="54" t="s">
        <v>95</v>
      </c>
      <c r="G252" s="39" t="str">
        <f>IFERROR(VLOOKUP($E$252,Precios[],2,FALSE)," ")</f>
        <v xml:space="preserve"> </v>
      </c>
      <c r="H252" s="39" t="str">
        <f>IFERROR((G252*0.07)," ")</f>
        <v xml:space="preserve"> </v>
      </c>
      <c r="I252" s="55" t="s">
        <v>98</v>
      </c>
      <c r="J252" s="39">
        <f>IFERROR(SUM(G252,H252)," ")</f>
        <v>0</v>
      </c>
    </row>
    <row r="253" spans="4:10" ht="18" x14ac:dyDescent="0.25">
      <c r="D253" s="48"/>
      <c r="E253" s="53" t="s">
        <v>95</v>
      </c>
      <c r="F253" s="53" t="s">
        <v>95</v>
      </c>
      <c r="G253" s="39" t="str">
        <f>IFERROR(VLOOKUP($E$253,Precios[],2,FALSE)," ")</f>
        <v xml:space="preserve"> </v>
      </c>
      <c r="H253" s="39" t="str">
        <f>IFERROR((G253*0.07)," ")</f>
        <v xml:space="preserve"> </v>
      </c>
      <c r="I253" s="49"/>
      <c r="J253" s="39">
        <f>IFERROR(SUM(G253,H253)," ")</f>
        <v>0</v>
      </c>
    </row>
    <row r="254" spans="4:10" ht="18" x14ac:dyDescent="0.25">
      <c r="D254" s="47"/>
      <c r="E254" s="53" t="s">
        <v>95</v>
      </c>
      <c r="F254" s="53" t="s">
        <v>95</v>
      </c>
      <c r="G254" s="39" t="str">
        <f>IFERROR(VLOOKUP($E$254,Precios[],2,FALSE)," ")</f>
        <v xml:space="preserve"> </v>
      </c>
      <c r="H254" s="39" t="str">
        <f>IFERROR((G254*0.07)," ")</f>
        <v xml:space="preserve"> </v>
      </c>
      <c r="I254" s="44"/>
      <c r="J254" s="39">
        <f>IFERROR(SUM(G254,H254)," ")</f>
        <v>0</v>
      </c>
    </row>
    <row r="256" spans="4:10" ht="15.75" x14ac:dyDescent="0.25">
      <c r="I256" s="13" t="s">
        <v>94</v>
      </c>
      <c r="J256" s="40">
        <f>SUM(J250:J254)</f>
        <v>17.12</v>
      </c>
    </row>
    <row r="257" spans="4:10" ht="15.75" x14ac:dyDescent="0.25">
      <c r="I257" s="14"/>
      <c r="J257" s="43"/>
    </row>
    <row r="258" spans="4:10" ht="15.75" x14ac:dyDescent="0.25">
      <c r="I258" s="14"/>
      <c r="J258" s="43"/>
    </row>
    <row r="266" spans="4:10" ht="15.75" x14ac:dyDescent="0.25">
      <c r="D266" s="14"/>
      <c r="E266" s="14"/>
    </row>
    <row r="267" spans="4:10" ht="15.75" x14ac:dyDescent="0.25">
      <c r="D267" s="14"/>
      <c r="E267" s="14"/>
      <c r="F267" s="10"/>
      <c r="G267" s="10"/>
      <c r="H267" s="10"/>
    </row>
    <row r="268" spans="4:10" ht="18" x14ac:dyDescent="0.25">
      <c r="D268" s="56" t="s">
        <v>106</v>
      </c>
      <c r="E268" s="60">
        <v>43781</v>
      </c>
      <c r="F268" s="2"/>
      <c r="G268" s="2"/>
      <c r="H268" s="2"/>
    </row>
    <row r="269" spans="4:10" ht="18" x14ac:dyDescent="0.25">
      <c r="D269" s="11" t="s">
        <v>96</v>
      </c>
      <c r="E269" s="11" t="s">
        <v>6</v>
      </c>
      <c r="F269" s="11" t="s">
        <v>7</v>
      </c>
      <c r="G269" s="11" t="s">
        <v>91</v>
      </c>
      <c r="H269" s="11" t="s">
        <v>92</v>
      </c>
      <c r="I269" s="11" t="s">
        <v>93</v>
      </c>
      <c r="J269" s="11" t="s">
        <v>94</v>
      </c>
    </row>
    <row r="270" spans="4:10" ht="18" x14ac:dyDescent="0.25">
      <c r="D270" s="46" t="s">
        <v>95</v>
      </c>
      <c r="E270" s="53" t="s">
        <v>60</v>
      </c>
      <c r="F270" s="53" t="s">
        <v>82</v>
      </c>
      <c r="G270" s="39">
        <f>IFERROR(VLOOKUP($E$270,Precios[],2,FALSE)," ")</f>
        <v>5</v>
      </c>
      <c r="H270" s="39">
        <f>IFERROR((G270*0.07)," ")</f>
        <v>0.35000000000000003</v>
      </c>
      <c r="I270" s="45"/>
      <c r="J270" s="39">
        <f>IFERROR(SUM(G270,H270)," ")</f>
        <v>5.35</v>
      </c>
    </row>
    <row r="271" spans="4:10" ht="18" x14ac:dyDescent="0.25">
      <c r="D271" s="48"/>
      <c r="E271" s="53" t="s">
        <v>95</v>
      </c>
      <c r="F271" s="53" t="s">
        <v>95</v>
      </c>
      <c r="G271" s="39" t="str">
        <f>IFERROR(VLOOKUP($E$271,Precios[],2,FALSE)," ")</f>
        <v xml:space="preserve"> </v>
      </c>
      <c r="H271" s="39" t="str">
        <f>IFERROR((G271*0.07)," ")</f>
        <v xml:space="preserve"> </v>
      </c>
      <c r="I271" s="49"/>
      <c r="J271" s="39">
        <f>IFERROR(SUM(G271,H271)," ")</f>
        <v>0</v>
      </c>
    </row>
    <row r="272" spans="4:10" x14ac:dyDescent="0.25">
      <c r="D272" s="52" t="s">
        <v>107</v>
      </c>
      <c r="E272" s="54" t="s">
        <v>95</v>
      </c>
      <c r="F272" s="54" t="s">
        <v>95</v>
      </c>
      <c r="G272" s="39" t="str">
        <f>IFERROR(VLOOKUP($E$272,Precios[],2,FALSE)," ")</f>
        <v xml:space="preserve"> </v>
      </c>
      <c r="H272" s="39" t="str">
        <f>IFERROR((G272*0.07)," ")</f>
        <v xml:space="preserve"> </v>
      </c>
      <c r="I272" s="55" t="s">
        <v>98</v>
      </c>
      <c r="J272" s="39">
        <f>IFERROR(SUM(G272,H272)," ")</f>
        <v>0</v>
      </c>
    </row>
    <row r="273" spans="4:10" ht="18" x14ac:dyDescent="0.25">
      <c r="D273" s="48"/>
      <c r="E273" s="53" t="s">
        <v>95</v>
      </c>
      <c r="F273" s="53" t="s">
        <v>95</v>
      </c>
      <c r="G273" s="39" t="str">
        <f>IFERROR(VLOOKUP($E$273,Precios[],2,FALSE)," ")</f>
        <v xml:space="preserve"> </v>
      </c>
      <c r="H273" s="39" t="str">
        <f>IFERROR((G273*0.07)," ")</f>
        <v xml:space="preserve"> </v>
      </c>
      <c r="I273" s="49"/>
      <c r="J273" s="39">
        <f>IFERROR(SUM(G273,H273)," ")</f>
        <v>0</v>
      </c>
    </row>
    <row r="274" spans="4:10" ht="18" x14ac:dyDescent="0.25">
      <c r="D274" s="47"/>
      <c r="E274" s="53" t="s">
        <v>95</v>
      </c>
      <c r="F274" s="53" t="s">
        <v>95</v>
      </c>
      <c r="G274" s="39" t="str">
        <f>IFERROR(VLOOKUP($E$274,Precios[],2,FALSE)," ")</f>
        <v xml:space="preserve"> </v>
      </c>
      <c r="H274" s="39" t="str">
        <f>IFERROR((G274*0.07)," ")</f>
        <v xml:space="preserve"> </v>
      </c>
      <c r="I274" s="44"/>
      <c r="J274" s="39">
        <f>IFERROR(SUM(G274,H274)," ")</f>
        <v>0</v>
      </c>
    </row>
    <row r="276" spans="4:10" ht="15.75" x14ac:dyDescent="0.25">
      <c r="I276" s="13" t="s">
        <v>94</v>
      </c>
      <c r="J276" s="40">
        <f>SUM(J270:J274)</f>
        <v>5.35</v>
      </c>
    </row>
    <row r="277" spans="4:10" ht="15.75" x14ac:dyDescent="0.25">
      <c r="I277" s="14"/>
      <c r="J277" s="43"/>
    </row>
    <row r="278" spans="4:10" ht="15.75" x14ac:dyDescent="0.25">
      <c r="I278" s="14"/>
      <c r="J278" s="43"/>
    </row>
    <row r="286" spans="4:10" ht="15.75" x14ac:dyDescent="0.25">
      <c r="D286" s="14"/>
      <c r="E286" s="14"/>
    </row>
    <row r="287" spans="4:10" ht="15.75" x14ac:dyDescent="0.25">
      <c r="D287" s="14"/>
      <c r="E287" s="14"/>
      <c r="F287" s="10"/>
      <c r="G287" s="10"/>
      <c r="H287" s="10"/>
    </row>
    <row r="288" spans="4:10" ht="18" x14ac:dyDescent="0.25">
      <c r="D288" s="56" t="s">
        <v>106</v>
      </c>
      <c r="E288" s="57">
        <v>43781</v>
      </c>
      <c r="F288" s="2"/>
      <c r="G288" s="2"/>
      <c r="H288" s="2"/>
    </row>
    <row r="289" spans="4:10" ht="18" x14ac:dyDescent="0.25">
      <c r="D289" s="11" t="s">
        <v>96</v>
      </c>
      <c r="E289" s="11" t="s">
        <v>6</v>
      </c>
      <c r="F289" s="11" t="s">
        <v>7</v>
      </c>
      <c r="G289" s="11" t="s">
        <v>91</v>
      </c>
      <c r="H289" s="11" t="s">
        <v>92</v>
      </c>
      <c r="I289" s="11" t="s">
        <v>93</v>
      </c>
      <c r="J289" s="11" t="s">
        <v>94</v>
      </c>
    </row>
    <row r="290" spans="4:10" ht="18" x14ac:dyDescent="0.25">
      <c r="D290" s="46" t="s">
        <v>95</v>
      </c>
      <c r="E290" s="53" t="s">
        <v>60</v>
      </c>
      <c r="F290" s="53" t="s">
        <v>82</v>
      </c>
      <c r="G290" s="39">
        <f>IFERROR(VLOOKUP($E$290,Precios[],2,FALSE)," ")</f>
        <v>5</v>
      </c>
      <c r="H290" s="39">
        <f>IFERROR((G290*0.07)," ")</f>
        <v>0.35000000000000003</v>
      </c>
      <c r="I290" s="45"/>
      <c r="J290" s="39">
        <f>IFERROR(SUM(G290,H290)," ")</f>
        <v>5.35</v>
      </c>
    </row>
    <row r="291" spans="4:10" ht="18" x14ac:dyDescent="0.25">
      <c r="D291" s="48"/>
      <c r="E291" s="53" t="s">
        <v>95</v>
      </c>
      <c r="F291" s="53" t="s">
        <v>95</v>
      </c>
      <c r="G291" s="39" t="str">
        <f>IFERROR(VLOOKUP($E$291,Precios[],2,FALSE)," ")</f>
        <v xml:space="preserve"> </v>
      </c>
      <c r="H291" s="39" t="str">
        <f>IFERROR((G291*0.07)," ")</f>
        <v xml:space="preserve"> </v>
      </c>
      <c r="I291" s="49"/>
      <c r="J291" s="39">
        <f>IFERROR(SUM(G291,H291)," ")</f>
        <v>0</v>
      </c>
    </row>
    <row r="292" spans="4:10" x14ac:dyDescent="0.25">
      <c r="D292" s="52" t="s">
        <v>107</v>
      </c>
      <c r="E292" s="54" t="s">
        <v>95</v>
      </c>
      <c r="F292" s="54" t="s">
        <v>95</v>
      </c>
      <c r="G292" s="39" t="str">
        <f>IFERROR(VLOOKUP($E$292,Precios[],2,FALSE)," ")</f>
        <v xml:space="preserve"> </v>
      </c>
      <c r="H292" s="39" t="str">
        <f>IFERROR((G292*0.07)," ")</f>
        <v xml:space="preserve"> </v>
      </c>
      <c r="I292" s="55" t="s">
        <v>98</v>
      </c>
      <c r="J292" s="39">
        <f>IFERROR(SUM(G292,H292)," ")</f>
        <v>0</v>
      </c>
    </row>
    <row r="293" spans="4:10" ht="18" x14ac:dyDescent="0.25">
      <c r="D293" s="48"/>
      <c r="E293" s="53" t="s">
        <v>95</v>
      </c>
      <c r="F293" s="53" t="s">
        <v>95</v>
      </c>
      <c r="G293" s="39" t="str">
        <f>IFERROR(VLOOKUP($E$293,Precios[],2,FALSE)," ")</f>
        <v xml:space="preserve"> </v>
      </c>
      <c r="H293" s="39" t="str">
        <f>IFERROR((G293*0.07)," ")</f>
        <v xml:space="preserve"> </v>
      </c>
      <c r="I293" s="49"/>
      <c r="J293" s="39">
        <f>IFERROR(SUM(G293,H293)," ")</f>
        <v>0</v>
      </c>
    </row>
    <row r="294" spans="4:10" ht="18" x14ac:dyDescent="0.25">
      <c r="D294" s="47"/>
      <c r="E294" s="53" t="s">
        <v>95</v>
      </c>
      <c r="F294" s="53" t="s">
        <v>95</v>
      </c>
      <c r="G294" s="39" t="str">
        <f>IFERROR(VLOOKUP($E$294,Precios[],2,FALSE)," ")</f>
        <v xml:space="preserve"> </v>
      </c>
      <c r="H294" s="39" t="str">
        <f>IFERROR((G294*0.07)," ")</f>
        <v xml:space="preserve"> </v>
      </c>
      <c r="I294" s="44"/>
      <c r="J294" s="39">
        <f>IFERROR(SUM(G294,H294)," ")</f>
        <v>0</v>
      </c>
    </row>
    <row r="296" spans="4:10" ht="15.75" x14ac:dyDescent="0.25">
      <c r="I296" s="13" t="s">
        <v>94</v>
      </c>
      <c r="J296" s="40">
        <f>SUM(J290:J294)</f>
        <v>5.35</v>
      </c>
    </row>
    <row r="297" spans="4:10" ht="15.75" x14ac:dyDescent="0.25">
      <c r="I297" s="14"/>
      <c r="J297" s="43"/>
    </row>
    <row r="298" spans="4:10" ht="15.75" x14ac:dyDescent="0.25">
      <c r="I298" s="14"/>
      <c r="J298" s="43"/>
    </row>
    <row r="306" spans="4:10" ht="15.75" x14ac:dyDescent="0.25">
      <c r="D306" s="14"/>
      <c r="E306" s="14"/>
    </row>
    <row r="307" spans="4:10" ht="15.75" x14ac:dyDescent="0.25">
      <c r="D307" s="14"/>
      <c r="E307" s="14"/>
      <c r="F307" s="10"/>
      <c r="G307" s="10"/>
      <c r="H307" s="10"/>
    </row>
    <row r="308" spans="4:10" ht="18" x14ac:dyDescent="0.25">
      <c r="D308" s="56" t="s">
        <v>106</v>
      </c>
      <c r="E308" s="57">
        <v>43781</v>
      </c>
      <c r="F308" s="2"/>
      <c r="G308" s="2"/>
      <c r="H308" s="2"/>
    </row>
    <row r="309" spans="4:10" ht="18" x14ac:dyDescent="0.25">
      <c r="D309" s="11" t="s">
        <v>96</v>
      </c>
      <c r="E309" s="11" t="s">
        <v>6</v>
      </c>
      <c r="F309" s="11" t="s">
        <v>7</v>
      </c>
      <c r="G309" s="11" t="s">
        <v>91</v>
      </c>
      <c r="H309" s="11" t="s">
        <v>92</v>
      </c>
      <c r="I309" s="11" t="s">
        <v>93</v>
      </c>
      <c r="J309" s="11" t="s">
        <v>94</v>
      </c>
    </row>
    <row r="310" spans="4:10" ht="18" x14ac:dyDescent="0.25">
      <c r="D310" s="46" t="s">
        <v>95</v>
      </c>
      <c r="E310" s="53" t="s">
        <v>60</v>
      </c>
      <c r="F310" s="53" t="s">
        <v>82</v>
      </c>
      <c r="G310" s="39">
        <f>IFERROR(VLOOKUP($E$310,Precios[],2,FALSE)," ")</f>
        <v>5</v>
      </c>
      <c r="H310" s="39">
        <f>IFERROR((G310*0.07)," ")</f>
        <v>0.35000000000000003</v>
      </c>
      <c r="I310" s="45"/>
      <c r="J310" s="39">
        <f>IFERROR(SUM(G310,H310)," ")</f>
        <v>5.35</v>
      </c>
    </row>
    <row r="311" spans="4:10" ht="18" x14ac:dyDescent="0.25">
      <c r="D311" s="48"/>
      <c r="E311" s="53" t="s">
        <v>95</v>
      </c>
      <c r="F311" s="53" t="s">
        <v>95</v>
      </c>
      <c r="G311" s="39" t="str">
        <f>IFERROR(VLOOKUP($E$311,Precios[],2,FALSE)," ")</f>
        <v xml:space="preserve"> </v>
      </c>
      <c r="H311" s="39" t="str">
        <f>IFERROR((G311*0.07)," ")</f>
        <v xml:space="preserve"> </v>
      </c>
      <c r="I311" s="49"/>
      <c r="J311" s="39">
        <f>IFERROR(SUM(G311,H311)," ")</f>
        <v>0</v>
      </c>
    </row>
    <row r="312" spans="4:10" x14ac:dyDescent="0.25">
      <c r="D312" s="52" t="s">
        <v>107</v>
      </c>
      <c r="E312" s="54" t="s">
        <v>95</v>
      </c>
      <c r="F312" s="54" t="s">
        <v>95</v>
      </c>
      <c r="G312" s="39" t="str">
        <f>IFERROR(VLOOKUP($E$312,Precios[],2,FALSE)," ")</f>
        <v xml:space="preserve"> </v>
      </c>
      <c r="H312" s="39" t="str">
        <f>IFERROR((G312*0.07)," ")</f>
        <v xml:space="preserve"> </v>
      </c>
      <c r="I312" s="55" t="s">
        <v>100</v>
      </c>
      <c r="J312" s="39">
        <f>IFERROR(SUM(G312,H312)," ")</f>
        <v>0</v>
      </c>
    </row>
    <row r="313" spans="4:10" ht="18" x14ac:dyDescent="0.25">
      <c r="D313" s="48"/>
      <c r="E313" s="53" t="s">
        <v>95</v>
      </c>
      <c r="F313" s="53" t="s">
        <v>95</v>
      </c>
      <c r="G313" s="39" t="str">
        <f>IFERROR(VLOOKUP($E$313,Precios[],2,FALSE)," ")</f>
        <v xml:space="preserve"> </v>
      </c>
      <c r="H313" s="39" t="str">
        <f>IFERROR((G313*0.07)," ")</f>
        <v xml:space="preserve"> </v>
      </c>
      <c r="I313" s="49"/>
      <c r="J313" s="39">
        <f>IFERROR(SUM(G313,H313)," ")</f>
        <v>0</v>
      </c>
    </row>
    <row r="314" spans="4:10" ht="18" x14ac:dyDescent="0.25">
      <c r="D314" s="47"/>
      <c r="E314" s="53" t="s">
        <v>95</v>
      </c>
      <c r="F314" s="53" t="s">
        <v>95</v>
      </c>
      <c r="G314" s="39" t="str">
        <f>IFERROR(VLOOKUP($E$314,Precios[],2,FALSE)," ")</f>
        <v xml:space="preserve"> </v>
      </c>
      <c r="H314" s="39" t="str">
        <f>IFERROR((G314*0.07)," ")</f>
        <v xml:space="preserve"> </v>
      </c>
      <c r="I314" s="44"/>
      <c r="J314" s="39">
        <f>IFERROR(SUM(G314,H314)," ")</f>
        <v>0</v>
      </c>
    </row>
    <row r="316" spans="4:10" ht="15.75" x14ac:dyDescent="0.25">
      <c r="I316" s="13" t="s">
        <v>94</v>
      </c>
      <c r="J316" s="40">
        <f>SUM(J310:J314)</f>
        <v>5.35</v>
      </c>
    </row>
    <row r="317" spans="4:10" ht="15.75" x14ac:dyDescent="0.25">
      <c r="I317" s="14"/>
      <c r="J317" s="43"/>
    </row>
    <row r="318" spans="4:10" ht="15.75" x14ac:dyDescent="0.25">
      <c r="I318" s="14"/>
      <c r="J318" s="43"/>
    </row>
    <row r="326" spans="4:10" ht="15.75" x14ac:dyDescent="0.25">
      <c r="D326" s="14"/>
      <c r="E326" s="14"/>
    </row>
    <row r="327" spans="4:10" ht="15.75" x14ac:dyDescent="0.25">
      <c r="D327" s="14"/>
      <c r="E327" s="14"/>
      <c r="F327" s="10"/>
      <c r="G327" s="10"/>
      <c r="H327" s="10"/>
    </row>
    <row r="328" spans="4:10" ht="18" x14ac:dyDescent="0.25">
      <c r="D328" s="56" t="s">
        <v>106</v>
      </c>
      <c r="E328" s="57">
        <v>43781</v>
      </c>
      <c r="F328" s="2"/>
      <c r="G328" s="2"/>
      <c r="H328" s="2"/>
    </row>
    <row r="329" spans="4:10" ht="18" x14ac:dyDescent="0.25">
      <c r="D329" s="11" t="s">
        <v>96</v>
      </c>
      <c r="E329" s="11" t="s">
        <v>6</v>
      </c>
      <c r="F329" s="11" t="s">
        <v>7</v>
      </c>
      <c r="G329" s="11" t="s">
        <v>91</v>
      </c>
      <c r="H329" s="11" t="s">
        <v>92</v>
      </c>
      <c r="I329" s="11" t="s">
        <v>93</v>
      </c>
      <c r="J329" s="11" t="s">
        <v>94</v>
      </c>
    </row>
    <row r="330" spans="4:10" ht="18" x14ac:dyDescent="0.25">
      <c r="D330" s="46" t="s">
        <v>95</v>
      </c>
      <c r="E330" s="53" t="s">
        <v>27</v>
      </c>
      <c r="F330" s="53" t="s">
        <v>76</v>
      </c>
      <c r="G330" s="39">
        <f>IFERROR(VLOOKUP($E$330,Precios[],2,FALSE)," ")</f>
        <v>50</v>
      </c>
      <c r="H330" s="39">
        <f>IFERROR((G330*0.07)," ")</f>
        <v>3.5000000000000004</v>
      </c>
      <c r="I330" s="45"/>
      <c r="J330" s="39">
        <f>IFERROR(SUM(G330,H330)," ")</f>
        <v>53.5</v>
      </c>
    </row>
    <row r="331" spans="4:10" ht="18" x14ac:dyDescent="0.25">
      <c r="D331" s="48"/>
      <c r="E331" s="53" t="s">
        <v>12</v>
      </c>
      <c r="F331" s="53" t="s">
        <v>74</v>
      </c>
      <c r="G331" s="39">
        <f>IFERROR(VLOOKUP($E$331,Precios[],2,FALSE)," ")</f>
        <v>18</v>
      </c>
      <c r="H331" s="39">
        <f>IFERROR((G331*0.07)," ")</f>
        <v>1.2600000000000002</v>
      </c>
      <c r="I331" s="49"/>
      <c r="J331" s="39">
        <f>IFERROR(SUM(G331,H331)," ")</f>
        <v>19.260000000000002</v>
      </c>
    </row>
    <row r="332" spans="4:10" x14ac:dyDescent="0.25">
      <c r="D332" s="52" t="s">
        <v>105</v>
      </c>
      <c r="E332" s="54" t="s">
        <v>95</v>
      </c>
      <c r="F332" s="54" t="s">
        <v>95</v>
      </c>
      <c r="G332" s="39" t="str">
        <f>IFERROR(VLOOKUP($E$332,Precios[],2,FALSE)," ")</f>
        <v xml:space="preserve"> </v>
      </c>
      <c r="H332" s="39" t="str">
        <f>IFERROR((G332*0.07)," ")</f>
        <v xml:space="preserve"> </v>
      </c>
      <c r="I332" s="55" t="s">
        <v>100</v>
      </c>
      <c r="J332" s="39">
        <f>IFERROR(SUM(G332,H332)," ")</f>
        <v>0</v>
      </c>
    </row>
    <row r="333" spans="4:10" ht="18" x14ac:dyDescent="0.25">
      <c r="D333" s="48"/>
      <c r="E333" s="53" t="s">
        <v>95</v>
      </c>
      <c r="F333" s="53" t="s">
        <v>95</v>
      </c>
      <c r="G333" s="39" t="str">
        <f>IFERROR(VLOOKUP($E$333,Precios[],2,FALSE)," ")</f>
        <v xml:space="preserve"> </v>
      </c>
      <c r="H333" s="39" t="str">
        <f>IFERROR((G333*0.07)," ")</f>
        <v xml:space="preserve"> </v>
      </c>
      <c r="I333" s="49"/>
      <c r="J333" s="39">
        <f>IFERROR(SUM(G333,H333)," ")</f>
        <v>0</v>
      </c>
    </row>
    <row r="334" spans="4:10" ht="18" x14ac:dyDescent="0.25">
      <c r="D334" s="47"/>
      <c r="E334" s="53" t="s">
        <v>95</v>
      </c>
      <c r="F334" s="53" t="s">
        <v>95</v>
      </c>
      <c r="G334" s="39" t="str">
        <f>IFERROR(VLOOKUP($E$334,Precios[],2,FALSE)," ")</f>
        <v xml:space="preserve"> </v>
      </c>
      <c r="H334" s="39" t="str">
        <f>IFERROR((G334*0.07)," ")</f>
        <v xml:space="preserve"> </v>
      </c>
      <c r="I334" s="44"/>
      <c r="J334" s="39">
        <f>IFERROR(SUM(G334,H334)," ")</f>
        <v>0</v>
      </c>
    </row>
    <row r="336" spans="4:10" ht="15.75" x14ac:dyDescent="0.25">
      <c r="I336" s="13" t="s">
        <v>94</v>
      </c>
      <c r="J336" s="40">
        <f>SUM(J330:J334)</f>
        <v>72.760000000000005</v>
      </c>
    </row>
    <row r="337" spans="4:10" ht="15.75" x14ac:dyDescent="0.25">
      <c r="I337" s="14"/>
      <c r="J337" s="43"/>
    </row>
    <row r="338" spans="4:10" ht="15.75" x14ac:dyDescent="0.25">
      <c r="I338" s="14"/>
      <c r="J338" s="43"/>
    </row>
    <row r="346" spans="4:10" ht="15.75" x14ac:dyDescent="0.25">
      <c r="D346" s="14"/>
      <c r="E346" s="14"/>
    </row>
    <row r="347" spans="4:10" ht="15.75" x14ac:dyDescent="0.25">
      <c r="D347" s="14"/>
      <c r="E347" s="14"/>
      <c r="F347" s="10"/>
      <c r="G347" s="10"/>
      <c r="H347" s="10"/>
    </row>
    <row r="348" spans="4:10" ht="18" x14ac:dyDescent="0.25">
      <c r="D348" s="56" t="s">
        <v>106</v>
      </c>
      <c r="E348" s="57">
        <v>43781</v>
      </c>
      <c r="F348" s="2"/>
      <c r="G348" s="2"/>
      <c r="H348" s="2"/>
    </row>
    <row r="349" spans="4:10" ht="18" x14ac:dyDescent="0.25">
      <c r="D349" s="11" t="s">
        <v>96</v>
      </c>
      <c r="E349" s="11" t="s">
        <v>6</v>
      </c>
      <c r="F349" s="11" t="s">
        <v>7</v>
      </c>
      <c r="G349" s="11" t="s">
        <v>91</v>
      </c>
      <c r="H349" s="11" t="s">
        <v>92</v>
      </c>
      <c r="I349" s="11" t="s">
        <v>93</v>
      </c>
      <c r="J349" s="11" t="s">
        <v>94</v>
      </c>
    </row>
    <row r="350" spans="4:10" ht="18" x14ac:dyDescent="0.25">
      <c r="D350" s="46" t="s">
        <v>95</v>
      </c>
      <c r="E350" s="53" t="s">
        <v>27</v>
      </c>
      <c r="F350" s="53" t="s">
        <v>76</v>
      </c>
      <c r="G350" s="39">
        <f>IFERROR(VLOOKUP($E$350,Precios[],2,FALSE)," ")</f>
        <v>50</v>
      </c>
      <c r="H350" s="39">
        <f>IFERROR((G350*0.07)," ")</f>
        <v>3.5000000000000004</v>
      </c>
      <c r="I350" s="45"/>
      <c r="J350" s="39">
        <f>IFERROR(SUM(G350,H350)," ")</f>
        <v>53.5</v>
      </c>
    </row>
    <row r="351" spans="4:10" ht="18" x14ac:dyDescent="0.25">
      <c r="D351" s="48"/>
      <c r="E351" s="53" t="s">
        <v>12</v>
      </c>
      <c r="F351" s="53" t="s">
        <v>74</v>
      </c>
      <c r="G351" s="39">
        <f>IFERROR(VLOOKUP($E$351,Precios[],2,FALSE)," ")</f>
        <v>18</v>
      </c>
      <c r="H351" s="39">
        <f>IFERROR((G351*0.07)," ")</f>
        <v>1.2600000000000002</v>
      </c>
      <c r="I351" s="49"/>
      <c r="J351" s="39">
        <f>IFERROR(SUM(G351,H351)," ")</f>
        <v>19.260000000000002</v>
      </c>
    </row>
    <row r="352" spans="4:10" x14ac:dyDescent="0.25">
      <c r="D352" s="52" t="s">
        <v>105</v>
      </c>
      <c r="E352" s="54" t="s">
        <v>95</v>
      </c>
      <c r="F352" s="54" t="s">
        <v>95</v>
      </c>
      <c r="G352" s="39" t="str">
        <f>IFERROR(VLOOKUP($E$352,Precios[],2,FALSE)," ")</f>
        <v xml:space="preserve"> </v>
      </c>
      <c r="H352" s="39" t="str">
        <f>IFERROR((G352*0.07)," ")</f>
        <v xml:space="preserve"> </v>
      </c>
      <c r="I352" s="55" t="s">
        <v>100</v>
      </c>
      <c r="J352" s="39">
        <f>IFERROR(SUM(G352,H352)," ")</f>
        <v>0</v>
      </c>
    </row>
    <row r="353" spans="4:10" ht="18" x14ac:dyDescent="0.25">
      <c r="D353" s="48"/>
      <c r="E353" s="53" t="s">
        <v>95</v>
      </c>
      <c r="F353" s="53" t="s">
        <v>95</v>
      </c>
      <c r="G353" s="39" t="str">
        <f>IFERROR(VLOOKUP($E$353,Precios[],2,FALSE)," ")</f>
        <v xml:space="preserve"> </v>
      </c>
      <c r="H353" s="39" t="str">
        <f>IFERROR((G353*0.07)," ")</f>
        <v xml:space="preserve"> </v>
      </c>
      <c r="I353" s="49"/>
      <c r="J353" s="39">
        <f>IFERROR(SUM(G353,H353)," ")</f>
        <v>0</v>
      </c>
    </row>
    <row r="354" spans="4:10" ht="18" x14ac:dyDescent="0.25">
      <c r="D354" s="47"/>
      <c r="E354" s="53" t="s">
        <v>95</v>
      </c>
      <c r="F354" s="53" t="s">
        <v>95</v>
      </c>
      <c r="G354" s="39" t="str">
        <f>IFERROR(VLOOKUP($E$354,Precios[],2,FALSE)," ")</f>
        <v xml:space="preserve"> </v>
      </c>
      <c r="H354" s="39" t="str">
        <f>IFERROR((G354*0.07)," ")</f>
        <v xml:space="preserve"> </v>
      </c>
      <c r="I354" s="44"/>
      <c r="J354" s="39">
        <f>IFERROR(SUM(G354,H354)," ")</f>
        <v>0</v>
      </c>
    </row>
    <row r="356" spans="4:10" ht="15.75" x14ac:dyDescent="0.25">
      <c r="I356" s="13" t="s">
        <v>94</v>
      </c>
      <c r="J356" s="40">
        <f>SUM(J350:J354)</f>
        <v>72.760000000000005</v>
      </c>
    </row>
    <row r="357" spans="4:10" ht="15.75" x14ac:dyDescent="0.25">
      <c r="I357" s="14"/>
      <c r="J357" s="43"/>
    </row>
    <row r="358" spans="4:10" ht="15.75" x14ac:dyDescent="0.25">
      <c r="I358" s="14"/>
      <c r="J358" s="43"/>
    </row>
    <row r="366" spans="4:10" ht="15.75" x14ac:dyDescent="0.25">
      <c r="D366" s="14"/>
      <c r="E366" s="14"/>
    </row>
    <row r="367" spans="4:10" ht="15.75" x14ac:dyDescent="0.25">
      <c r="D367" s="14"/>
      <c r="E367" s="14"/>
      <c r="F367" s="10"/>
      <c r="G367" s="10"/>
      <c r="H367" s="10"/>
    </row>
    <row r="368" spans="4:10" ht="18" x14ac:dyDescent="0.25">
      <c r="D368" s="56" t="s">
        <v>106</v>
      </c>
      <c r="E368" s="57">
        <v>43781</v>
      </c>
      <c r="F368" s="2"/>
      <c r="G368" s="2"/>
      <c r="H368" s="2"/>
    </row>
    <row r="369" spans="4:10" ht="18" x14ac:dyDescent="0.25">
      <c r="D369" s="11" t="s">
        <v>96</v>
      </c>
      <c r="E369" s="11" t="s">
        <v>6</v>
      </c>
      <c r="F369" s="11" t="s">
        <v>7</v>
      </c>
      <c r="G369" s="11" t="s">
        <v>91</v>
      </c>
      <c r="H369" s="11" t="s">
        <v>92</v>
      </c>
      <c r="I369" s="11" t="s">
        <v>93</v>
      </c>
      <c r="J369" s="11" t="s">
        <v>94</v>
      </c>
    </row>
    <row r="370" spans="4:10" ht="18" x14ac:dyDescent="0.25">
      <c r="D370" s="46" t="s">
        <v>95</v>
      </c>
      <c r="E370" s="53" t="s">
        <v>27</v>
      </c>
      <c r="F370" s="53" t="s">
        <v>76</v>
      </c>
      <c r="G370" s="39">
        <f>IFERROR(VLOOKUP($E$370,Precios[],2,FALSE)," ")</f>
        <v>50</v>
      </c>
      <c r="H370" s="39">
        <f>IFERROR((G370*0.07)," ")</f>
        <v>3.5000000000000004</v>
      </c>
      <c r="I370" s="45"/>
      <c r="J370" s="39">
        <f>IFERROR(SUM(G370,H370)," ")</f>
        <v>53.5</v>
      </c>
    </row>
    <row r="371" spans="4:10" ht="18" x14ac:dyDescent="0.25">
      <c r="D371" s="48"/>
      <c r="E371" s="53" t="s">
        <v>10</v>
      </c>
      <c r="F371" s="53" t="s">
        <v>72</v>
      </c>
      <c r="G371" s="39">
        <f>IFERROR(VLOOKUP($E$371,Precios[],2,FALSE)," ")</f>
        <v>14</v>
      </c>
      <c r="H371" s="39">
        <f>IFERROR((G371*0.07)," ")</f>
        <v>0.98000000000000009</v>
      </c>
      <c r="I371" s="49"/>
      <c r="J371" s="39">
        <f>IFERROR(SUM(G371,H371)," ")</f>
        <v>14.98</v>
      </c>
    </row>
    <row r="372" spans="4:10" x14ac:dyDescent="0.25">
      <c r="D372" s="52" t="s">
        <v>105</v>
      </c>
      <c r="E372" s="54" t="s">
        <v>11</v>
      </c>
      <c r="F372" s="54" t="s">
        <v>75</v>
      </c>
      <c r="G372" s="39">
        <f>IFERROR(VLOOKUP($E$372,Precios[],2,FALSE)," ")</f>
        <v>10</v>
      </c>
      <c r="H372" s="39">
        <f>IFERROR((G372*0.07)," ")</f>
        <v>0.70000000000000007</v>
      </c>
      <c r="I372" s="55" t="s">
        <v>100</v>
      </c>
      <c r="J372" s="39">
        <f>IFERROR(SUM(G372,H372)," ")</f>
        <v>10.7</v>
      </c>
    </row>
    <row r="373" spans="4:10" ht="18" x14ac:dyDescent="0.25">
      <c r="D373" s="48"/>
      <c r="E373" s="53" t="s">
        <v>13</v>
      </c>
      <c r="F373" s="53" t="s">
        <v>73</v>
      </c>
      <c r="G373" s="39">
        <f>IFERROR(VLOOKUP($E$373,Precios[],2,FALSE)," ")</f>
        <v>16</v>
      </c>
      <c r="H373" s="39">
        <f>IFERROR((G373*0.07)," ")</f>
        <v>1.1200000000000001</v>
      </c>
      <c r="I373" s="49"/>
      <c r="J373" s="39">
        <f>IFERROR(SUM(G373,H373)," ")</f>
        <v>17.12</v>
      </c>
    </row>
    <row r="374" spans="4:10" ht="18" x14ac:dyDescent="0.25">
      <c r="D374" s="47"/>
      <c r="E374" s="53" t="s">
        <v>13</v>
      </c>
      <c r="F374" s="53" t="s">
        <v>84</v>
      </c>
      <c r="G374" s="39">
        <f>IFERROR(VLOOKUP($E$374,Precios[],2,FALSE)," ")</f>
        <v>16</v>
      </c>
      <c r="H374" s="39">
        <f>IFERROR((G374*0.07)," ")</f>
        <v>1.1200000000000001</v>
      </c>
      <c r="I374" s="44"/>
      <c r="J374" s="39">
        <f>IFERROR(SUM(G374,H374)," ")</f>
        <v>17.12</v>
      </c>
    </row>
    <row r="376" spans="4:10" ht="15.75" x14ac:dyDescent="0.25">
      <c r="I376" s="13" t="s">
        <v>94</v>
      </c>
      <c r="J376" s="40">
        <f>SUM(J370:J374)</f>
        <v>113.42000000000002</v>
      </c>
    </row>
    <row r="377" spans="4:10" ht="15.75" x14ac:dyDescent="0.25">
      <c r="I377" s="14"/>
      <c r="J377" s="43"/>
    </row>
    <row r="378" spans="4:10" ht="15.75" x14ac:dyDescent="0.25">
      <c r="I378" s="14"/>
      <c r="J378" s="43"/>
    </row>
    <row r="386" spans="4:10" ht="15.75" x14ac:dyDescent="0.25">
      <c r="D386" s="14"/>
      <c r="E386" s="14"/>
    </row>
    <row r="387" spans="4:10" ht="15.75" x14ac:dyDescent="0.25">
      <c r="D387" s="14"/>
      <c r="E387" s="14"/>
      <c r="F387" s="10"/>
      <c r="G387" s="10"/>
      <c r="H387" s="10"/>
    </row>
    <row r="388" spans="4:10" ht="18" x14ac:dyDescent="0.25">
      <c r="D388" s="2"/>
      <c r="E388" s="2"/>
      <c r="F388" s="2"/>
      <c r="G388" s="2"/>
      <c r="H388" s="2"/>
    </row>
    <row r="389" spans="4:10" ht="18" x14ac:dyDescent="0.25">
      <c r="D389" s="11" t="s">
        <v>96</v>
      </c>
      <c r="E389" s="11" t="s">
        <v>6</v>
      </c>
      <c r="F389" s="11" t="s">
        <v>7</v>
      </c>
      <c r="G389" s="11" t="s">
        <v>91</v>
      </c>
      <c r="H389" s="11" t="s">
        <v>92</v>
      </c>
      <c r="I389" s="11" t="s">
        <v>93</v>
      </c>
      <c r="J389" s="11" t="s">
        <v>94</v>
      </c>
    </row>
    <row r="390" spans="4:10" ht="18" x14ac:dyDescent="0.25">
      <c r="D390" s="46" t="s">
        <v>95</v>
      </c>
      <c r="E390" s="53" t="s">
        <v>27</v>
      </c>
      <c r="F390" s="53" t="s">
        <v>76</v>
      </c>
      <c r="G390" s="39">
        <f>IFERROR(VLOOKUP($E$390,Precios[],2,FALSE)," ")</f>
        <v>50</v>
      </c>
      <c r="H390" s="39">
        <f>IFERROR((G390*0.07)," ")</f>
        <v>3.5000000000000004</v>
      </c>
      <c r="I390" s="45"/>
      <c r="J390" s="39">
        <f>IFERROR(SUM(G390,H390)," ")</f>
        <v>53.5</v>
      </c>
    </row>
    <row r="391" spans="4:10" ht="18" x14ac:dyDescent="0.25">
      <c r="D391" s="48"/>
      <c r="E391" s="53" t="s">
        <v>10</v>
      </c>
      <c r="F391" s="53" t="s">
        <v>72</v>
      </c>
      <c r="G391" s="39">
        <f>IFERROR(VLOOKUP($E$391,Precios[],2,FALSE)," ")</f>
        <v>14</v>
      </c>
      <c r="H391" s="39">
        <f>IFERROR((G391*0.07)," ")</f>
        <v>0.98000000000000009</v>
      </c>
      <c r="I391" s="49"/>
      <c r="J391" s="39">
        <f>IFERROR(SUM(G391,H391)," ")</f>
        <v>14.98</v>
      </c>
    </row>
    <row r="392" spans="4:10" x14ac:dyDescent="0.25">
      <c r="D392" s="52" t="s">
        <v>105</v>
      </c>
      <c r="E392" s="54" t="s">
        <v>11</v>
      </c>
      <c r="F392" s="54" t="s">
        <v>75</v>
      </c>
      <c r="G392" s="39">
        <f>IFERROR(VLOOKUP($E$392,Precios[],2,FALSE)," ")</f>
        <v>10</v>
      </c>
      <c r="H392" s="39">
        <f>IFERROR((G392*0.07)," ")</f>
        <v>0.70000000000000007</v>
      </c>
      <c r="I392" s="55" t="s">
        <v>100</v>
      </c>
      <c r="J392" s="39">
        <f>IFERROR(SUM(G392,H392)," ")</f>
        <v>10.7</v>
      </c>
    </row>
    <row r="393" spans="4:10" ht="18" x14ac:dyDescent="0.25">
      <c r="D393" s="48"/>
      <c r="E393" s="53" t="s">
        <v>13</v>
      </c>
      <c r="F393" s="53" t="s">
        <v>73</v>
      </c>
      <c r="G393" s="39">
        <f>IFERROR(VLOOKUP($E$393,Precios[],2,FALSE)," ")</f>
        <v>16</v>
      </c>
      <c r="H393" s="39">
        <f>IFERROR((G393*0.07)," ")</f>
        <v>1.1200000000000001</v>
      </c>
      <c r="I393" s="49"/>
      <c r="J393" s="39">
        <f>IFERROR(SUM(G393,H393)," ")</f>
        <v>17.12</v>
      </c>
    </row>
    <row r="394" spans="4:10" ht="18" x14ac:dyDescent="0.25">
      <c r="D394" s="47"/>
      <c r="E394" s="53" t="s">
        <v>13</v>
      </c>
      <c r="F394" s="53" t="s">
        <v>84</v>
      </c>
      <c r="G394" s="39">
        <f>IFERROR(VLOOKUP($E$394,Precios[],2,FALSE)," ")</f>
        <v>16</v>
      </c>
      <c r="H394" s="39">
        <f>IFERROR((G394*0.07)," ")</f>
        <v>1.1200000000000001</v>
      </c>
      <c r="I394" s="44"/>
      <c r="J394" s="39">
        <f>IFERROR(SUM(G394,H394)," ")</f>
        <v>17.12</v>
      </c>
    </row>
    <row r="396" spans="4:10" ht="15.75" x14ac:dyDescent="0.25">
      <c r="I396" s="13" t="s">
        <v>94</v>
      </c>
      <c r="J396" s="40">
        <f>SUM(J390:J394)</f>
        <v>113.42000000000002</v>
      </c>
    </row>
    <row r="397" spans="4:10" ht="15.75" x14ac:dyDescent="0.25">
      <c r="I397" s="14"/>
      <c r="J397" s="43"/>
    </row>
    <row r="398" spans="4:10" ht="15.75" x14ac:dyDescent="0.25">
      <c r="I398" s="14"/>
      <c r="J398" s="43"/>
    </row>
    <row r="406" spans="4:10" ht="15.75" x14ac:dyDescent="0.25">
      <c r="D406" s="14"/>
      <c r="E406" s="14"/>
    </row>
    <row r="407" spans="4:10" ht="15.75" x14ac:dyDescent="0.25">
      <c r="D407" s="14"/>
      <c r="E407" s="14"/>
      <c r="F407" s="10"/>
      <c r="G407" s="10"/>
      <c r="H407" s="10"/>
    </row>
    <row r="408" spans="4:10" ht="18" x14ac:dyDescent="0.25">
      <c r="D408" s="2"/>
      <c r="E408" s="2"/>
      <c r="F408" s="2"/>
      <c r="G408" s="2"/>
      <c r="H408" s="2"/>
    </row>
    <row r="409" spans="4:10" ht="18" x14ac:dyDescent="0.25">
      <c r="D409" s="11" t="s">
        <v>96</v>
      </c>
      <c r="E409" s="11" t="s">
        <v>6</v>
      </c>
      <c r="F409" s="11" t="s">
        <v>7</v>
      </c>
      <c r="G409" s="11" t="s">
        <v>91</v>
      </c>
      <c r="H409" s="11" t="s">
        <v>92</v>
      </c>
      <c r="I409" s="11" t="s">
        <v>93</v>
      </c>
      <c r="J409" s="11" t="s">
        <v>94</v>
      </c>
    </row>
    <row r="410" spans="4:10" ht="18" x14ac:dyDescent="0.25">
      <c r="D410" s="46" t="s">
        <v>95</v>
      </c>
      <c r="E410" s="53" t="s">
        <v>25</v>
      </c>
      <c r="F410" s="53" t="s">
        <v>76</v>
      </c>
      <c r="G410" s="39">
        <f>IFERROR(VLOOKUP($E$410,Precios[],2,FALSE)," ")</f>
        <v>70</v>
      </c>
      <c r="H410" s="39">
        <f>IFERROR((G410*0.07)," ")</f>
        <v>4.9000000000000004</v>
      </c>
      <c r="I410" s="45"/>
      <c r="J410" s="39">
        <f>IFERROR(SUM(G410,H410)," ")</f>
        <v>74.900000000000006</v>
      </c>
    </row>
    <row r="411" spans="4:10" ht="18" x14ac:dyDescent="0.25">
      <c r="D411" s="48"/>
      <c r="E411" s="53" t="s">
        <v>11</v>
      </c>
      <c r="F411" s="53" t="s">
        <v>72</v>
      </c>
      <c r="G411" s="39">
        <f>IFERROR(VLOOKUP($E$411,Precios[],2,FALSE)," ")</f>
        <v>10</v>
      </c>
      <c r="H411" s="39">
        <f>IFERROR((G411*0.07)," ")</f>
        <v>0.70000000000000007</v>
      </c>
      <c r="I411" s="49"/>
      <c r="J411" s="39">
        <f>IFERROR(SUM(G411,H411)," ")</f>
        <v>10.7</v>
      </c>
    </row>
    <row r="412" spans="4:10" x14ac:dyDescent="0.25">
      <c r="D412" s="52" t="s">
        <v>104</v>
      </c>
      <c r="E412" s="54" t="s">
        <v>11</v>
      </c>
      <c r="F412" s="54" t="s">
        <v>75</v>
      </c>
      <c r="G412" s="39">
        <f>IFERROR(VLOOKUP($E$412,Precios[],2,FALSE)," ")</f>
        <v>10</v>
      </c>
      <c r="H412" s="39">
        <f>IFERROR((G412*0.07)," ")</f>
        <v>0.70000000000000007</v>
      </c>
      <c r="I412" s="55" t="s">
        <v>100</v>
      </c>
      <c r="J412" s="39">
        <f>IFERROR(SUM(G412,H412)," ")</f>
        <v>10.7</v>
      </c>
    </row>
    <row r="413" spans="4:10" ht="18" x14ac:dyDescent="0.25">
      <c r="D413" s="48"/>
      <c r="E413" s="53" t="s">
        <v>13</v>
      </c>
      <c r="F413" s="53" t="s">
        <v>73</v>
      </c>
      <c r="G413" s="39">
        <f>IFERROR(VLOOKUP($E$413,Precios[],2,FALSE)," ")</f>
        <v>16</v>
      </c>
      <c r="H413" s="39">
        <f>IFERROR((G413*0.07)," ")</f>
        <v>1.1200000000000001</v>
      </c>
      <c r="I413" s="49"/>
      <c r="J413" s="39">
        <f>IFERROR(SUM(G413,H413)," ")</f>
        <v>17.12</v>
      </c>
    </row>
    <row r="414" spans="4:10" ht="18" x14ac:dyDescent="0.25">
      <c r="D414" s="47"/>
      <c r="E414" s="53" t="s">
        <v>13</v>
      </c>
      <c r="F414" s="53" t="s">
        <v>84</v>
      </c>
      <c r="G414" s="39">
        <f>IFERROR(VLOOKUP($E$414,Precios[],2,FALSE)," ")</f>
        <v>16</v>
      </c>
      <c r="H414" s="39">
        <f>IFERROR((G414*0.07)," ")</f>
        <v>1.1200000000000001</v>
      </c>
      <c r="I414" s="44"/>
      <c r="J414" s="39">
        <f>IFERROR(SUM(G414,H414)," ")</f>
        <v>17.12</v>
      </c>
    </row>
    <row r="416" spans="4:10" ht="15.75" x14ac:dyDescent="0.25">
      <c r="I416" s="13" t="s">
        <v>94</v>
      </c>
      <c r="J416" s="40">
        <f>SUM(J410:J414)</f>
        <v>130.54000000000002</v>
      </c>
    </row>
    <row r="417" spans="4:10" ht="15.75" x14ac:dyDescent="0.25">
      <c r="I417" s="14"/>
      <c r="J417" s="43"/>
    </row>
    <row r="418" spans="4:10" ht="15.75" x14ac:dyDescent="0.25">
      <c r="I418" s="14"/>
      <c r="J418" s="43"/>
    </row>
    <row r="426" spans="4:10" ht="15.75" x14ac:dyDescent="0.25">
      <c r="D426" s="14"/>
      <c r="E426" s="14"/>
    </row>
    <row r="427" spans="4:10" ht="15.75" x14ac:dyDescent="0.25">
      <c r="D427" s="14"/>
      <c r="E427" s="14"/>
      <c r="F427" s="10"/>
      <c r="G427" s="10"/>
      <c r="H427" s="10"/>
    </row>
    <row r="428" spans="4:10" ht="18" x14ac:dyDescent="0.25">
      <c r="D428" s="2"/>
      <c r="E428" s="2"/>
      <c r="F428" s="2"/>
      <c r="G428" s="2"/>
      <c r="H428" s="2"/>
    </row>
    <row r="429" spans="4:10" ht="18" x14ac:dyDescent="0.25">
      <c r="D429" s="11" t="s">
        <v>96</v>
      </c>
      <c r="E429" s="11" t="s">
        <v>6</v>
      </c>
      <c r="F429" s="11" t="s">
        <v>7</v>
      </c>
      <c r="G429" s="11" t="s">
        <v>91</v>
      </c>
      <c r="H429" s="11" t="s">
        <v>92</v>
      </c>
      <c r="I429" s="11" t="s">
        <v>93</v>
      </c>
      <c r="J429" s="11" t="s">
        <v>94</v>
      </c>
    </row>
    <row r="430" spans="4:10" ht="18" x14ac:dyDescent="0.25">
      <c r="D430" s="46" t="s">
        <v>95</v>
      </c>
      <c r="E430" s="53" t="s">
        <v>25</v>
      </c>
      <c r="F430" s="53" t="s">
        <v>76</v>
      </c>
      <c r="G430" s="39">
        <f>IFERROR(VLOOKUP($E$430,Precios[],2,FALSE)," ")</f>
        <v>70</v>
      </c>
      <c r="H430" s="39">
        <f>IFERROR((G430*0.07)," ")</f>
        <v>4.9000000000000004</v>
      </c>
      <c r="I430" s="45"/>
      <c r="J430" s="39">
        <f>IFERROR(SUM(G430,H430)," ")</f>
        <v>74.900000000000006</v>
      </c>
    </row>
    <row r="431" spans="4:10" ht="18" x14ac:dyDescent="0.25">
      <c r="D431" s="48"/>
      <c r="E431" s="53" t="s">
        <v>11</v>
      </c>
      <c r="F431" s="53" t="s">
        <v>72</v>
      </c>
      <c r="G431" s="39">
        <f>IFERROR(VLOOKUP($E$431,Precios[],2,FALSE)," ")</f>
        <v>10</v>
      </c>
      <c r="H431" s="39">
        <f>IFERROR((G431*0.07)," ")</f>
        <v>0.70000000000000007</v>
      </c>
      <c r="I431" s="49"/>
      <c r="J431" s="39">
        <f>IFERROR(SUM(G431,H431)," ")</f>
        <v>10.7</v>
      </c>
    </row>
    <row r="432" spans="4:10" x14ac:dyDescent="0.25">
      <c r="D432" s="52" t="s">
        <v>104</v>
      </c>
      <c r="E432" s="54" t="s">
        <v>11</v>
      </c>
      <c r="F432" s="54" t="s">
        <v>75</v>
      </c>
      <c r="G432" s="39">
        <f>IFERROR(VLOOKUP($E$432,Precios[],2,FALSE)," ")</f>
        <v>10</v>
      </c>
      <c r="H432" s="39">
        <f>IFERROR((G432*0.07)," ")</f>
        <v>0.70000000000000007</v>
      </c>
      <c r="I432" s="55" t="s">
        <v>100</v>
      </c>
      <c r="J432" s="39">
        <f>IFERROR(SUM(G432,H432)," ")</f>
        <v>10.7</v>
      </c>
    </row>
    <row r="433" spans="4:10" ht="18" x14ac:dyDescent="0.25">
      <c r="D433" s="48"/>
      <c r="E433" s="53" t="s">
        <v>13</v>
      </c>
      <c r="F433" s="53" t="s">
        <v>73</v>
      </c>
      <c r="G433" s="39">
        <f>IFERROR(VLOOKUP($E$433,Precios[],2,FALSE)," ")</f>
        <v>16</v>
      </c>
      <c r="H433" s="39">
        <f>IFERROR((G433*0.07)," ")</f>
        <v>1.1200000000000001</v>
      </c>
      <c r="I433" s="49"/>
      <c r="J433" s="39">
        <f>IFERROR(SUM(G433,H433)," ")</f>
        <v>17.12</v>
      </c>
    </row>
    <row r="434" spans="4:10" ht="18" x14ac:dyDescent="0.25">
      <c r="D434" s="47"/>
      <c r="E434" s="53" t="s">
        <v>13</v>
      </c>
      <c r="F434" s="53" t="s">
        <v>84</v>
      </c>
      <c r="G434" s="39">
        <f>IFERROR(VLOOKUP($E$434,Precios[],2,FALSE)," ")</f>
        <v>16</v>
      </c>
      <c r="H434" s="39">
        <f>IFERROR((G434*0.07)," ")</f>
        <v>1.1200000000000001</v>
      </c>
      <c r="I434" s="44"/>
      <c r="J434" s="39">
        <f>IFERROR(SUM(G434,H434)," ")</f>
        <v>17.12</v>
      </c>
    </row>
    <row r="436" spans="4:10" ht="15.75" x14ac:dyDescent="0.25">
      <c r="I436" s="13" t="s">
        <v>94</v>
      </c>
      <c r="J436" s="40">
        <f>SUM(J430:J434)</f>
        <v>130.54000000000002</v>
      </c>
    </row>
    <row r="437" spans="4:10" ht="15.75" x14ac:dyDescent="0.25">
      <c r="I437" s="14"/>
      <c r="J437" s="43"/>
    </row>
    <row r="438" spans="4:10" ht="15.75" x14ac:dyDescent="0.25">
      <c r="I438" s="14"/>
      <c r="J438" s="43"/>
    </row>
    <row r="446" spans="4:10" ht="15.75" x14ac:dyDescent="0.25">
      <c r="D446" s="14"/>
      <c r="E446" s="14"/>
    </row>
    <row r="447" spans="4:10" ht="15.75" x14ac:dyDescent="0.25">
      <c r="D447" s="14"/>
      <c r="E447" s="14"/>
      <c r="F447" s="10"/>
      <c r="G447" s="10"/>
      <c r="H447" s="10"/>
    </row>
    <row r="448" spans="4:10" ht="18" x14ac:dyDescent="0.25">
      <c r="D448" s="2"/>
      <c r="E448" s="2"/>
      <c r="F448" s="2"/>
      <c r="G448" s="2"/>
      <c r="H448" s="2"/>
    </row>
    <row r="449" spans="4:10" ht="18" x14ac:dyDescent="0.25">
      <c r="D449" s="11" t="s">
        <v>96</v>
      </c>
      <c r="E449" s="11" t="s">
        <v>6</v>
      </c>
      <c r="F449" s="11" t="s">
        <v>7</v>
      </c>
      <c r="G449" s="11" t="s">
        <v>91</v>
      </c>
      <c r="H449" s="11" t="s">
        <v>92</v>
      </c>
      <c r="I449" s="11" t="s">
        <v>93</v>
      </c>
      <c r="J449" s="11" t="s">
        <v>94</v>
      </c>
    </row>
    <row r="450" spans="4:10" ht="18" x14ac:dyDescent="0.25">
      <c r="D450" s="46" t="s">
        <v>95</v>
      </c>
      <c r="E450" s="12" t="s">
        <v>25</v>
      </c>
      <c r="F450" s="12" t="s">
        <v>76</v>
      </c>
      <c r="G450" s="39">
        <f>IFERROR(VLOOKUP($E$450,Precios[],2,FALSE)," ")</f>
        <v>70</v>
      </c>
      <c r="H450" s="39">
        <f>IFERROR((G450*0.07)," ")</f>
        <v>4.9000000000000004</v>
      </c>
      <c r="I450" s="45"/>
      <c r="J450" s="39">
        <f>IFERROR(SUM(G450,H450)," ")</f>
        <v>74.900000000000006</v>
      </c>
    </row>
    <row r="451" spans="4:10" ht="18" x14ac:dyDescent="0.25">
      <c r="D451" s="48"/>
      <c r="E451" s="12" t="s">
        <v>11</v>
      </c>
      <c r="F451" s="12" t="s">
        <v>72</v>
      </c>
      <c r="G451" s="39">
        <f>IFERROR(VLOOKUP($E$451,Precios[],2,FALSE)," ")</f>
        <v>10</v>
      </c>
      <c r="H451" s="39">
        <f>IFERROR((G451*0.07)," ")</f>
        <v>0.70000000000000007</v>
      </c>
      <c r="I451" s="49"/>
      <c r="J451" s="39">
        <f>IFERROR(SUM(G451,H451)," ")</f>
        <v>10.7</v>
      </c>
    </row>
    <row r="452" spans="4:10" x14ac:dyDescent="0.25">
      <c r="D452" s="48" t="s">
        <v>104</v>
      </c>
      <c r="E452" s="50" t="s">
        <v>11</v>
      </c>
      <c r="F452" s="50" t="s">
        <v>75</v>
      </c>
      <c r="G452" s="39">
        <f>IFERROR(VLOOKUP($E$452,Precios[],2,FALSE)," ")</f>
        <v>10</v>
      </c>
      <c r="H452" s="39">
        <f>IFERROR((G452*0.07)," ")</f>
        <v>0.70000000000000007</v>
      </c>
      <c r="I452" s="51" t="s">
        <v>100</v>
      </c>
      <c r="J452" s="39">
        <f>IFERROR(SUM(G452,H452)," ")</f>
        <v>10.7</v>
      </c>
    </row>
    <row r="453" spans="4:10" ht="18" x14ac:dyDescent="0.25">
      <c r="D453" s="48"/>
      <c r="E453" s="12" t="s">
        <v>13</v>
      </c>
      <c r="F453" s="12" t="s">
        <v>73</v>
      </c>
      <c r="G453" s="39">
        <f>IFERROR(VLOOKUP($E$453,Precios[],2,FALSE)," ")</f>
        <v>16</v>
      </c>
      <c r="H453" s="39">
        <f>IFERROR((G453*0.07)," ")</f>
        <v>1.1200000000000001</v>
      </c>
      <c r="I453" s="49"/>
      <c r="J453" s="39">
        <f>IFERROR(SUM(G453,H453)," ")</f>
        <v>17.12</v>
      </c>
    </row>
    <row r="454" spans="4:10" ht="18" x14ac:dyDescent="0.25">
      <c r="D454" s="47"/>
      <c r="E454" s="12" t="s">
        <v>13</v>
      </c>
      <c r="F454" s="12" t="s">
        <v>84</v>
      </c>
      <c r="G454" s="39">
        <f>IFERROR(VLOOKUP($E$454,Precios[],2,FALSE)," ")</f>
        <v>16</v>
      </c>
      <c r="H454" s="39">
        <f>IFERROR((G454*0.07)," ")</f>
        <v>1.1200000000000001</v>
      </c>
      <c r="I454" s="44"/>
      <c r="J454" s="39">
        <f>IFERROR(SUM(G454,H454)," ")</f>
        <v>17.12</v>
      </c>
    </row>
    <row r="456" spans="4:10" ht="15.75" x14ac:dyDescent="0.25">
      <c r="I456" s="13" t="s">
        <v>94</v>
      </c>
      <c r="J456" s="40">
        <f>SUM(J450:J454)</f>
        <v>130.54000000000002</v>
      </c>
    </row>
    <row r="457" spans="4:10" ht="15.75" x14ac:dyDescent="0.25">
      <c r="I457" s="14"/>
      <c r="J457" s="43"/>
    </row>
    <row r="458" spans="4:10" ht="15.75" x14ac:dyDescent="0.25">
      <c r="I458" s="14"/>
      <c r="J458" s="43"/>
    </row>
    <row r="466" spans="3:10" ht="15.75" x14ac:dyDescent="0.25">
      <c r="D466" s="14"/>
      <c r="E466" s="14"/>
    </row>
    <row r="467" spans="3:10" ht="15.75" x14ac:dyDescent="0.25">
      <c r="I467" s="14"/>
      <c r="J467" s="43"/>
    </row>
    <row r="473" spans="3:10" ht="15" customHeight="1" x14ac:dyDescent="0.25"/>
    <row r="474" spans="3:10" ht="15" customHeight="1" x14ac:dyDescent="0.25"/>
    <row r="475" spans="3:10" ht="15.75" x14ac:dyDescent="0.25">
      <c r="D475" s="14"/>
      <c r="E475" s="14"/>
    </row>
    <row r="476" spans="3:10" ht="15.75" x14ac:dyDescent="0.25">
      <c r="D476" s="14"/>
      <c r="E476" s="14"/>
      <c r="F476" s="10"/>
      <c r="G476" s="10"/>
      <c r="H476" s="10"/>
      <c r="I476" s="10"/>
      <c r="J476" s="10"/>
    </row>
    <row r="477" spans="3:10" ht="18" x14ac:dyDescent="0.25">
      <c r="C477" s="10"/>
      <c r="D477" s="61"/>
      <c r="E477" s="61"/>
      <c r="F477" s="61"/>
      <c r="G477" s="61"/>
      <c r="H477" s="61"/>
      <c r="I477" s="61"/>
      <c r="J477" s="61"/>
    </row>
    <row r="478" spans="3:10" ht="18" x14ac:dyDescent="0.25">
      <c r="C478" s="10"/>
      <c r="D478" s="78"/>
      <c r="E478" s="2"/>
      <c r="F478" s="2"/>
      <c r="G478" s="62"/>
      <c r="H478" s="62"/>
      <c r="I478" s="79"/>
      <c r="J478" s="62"/>
    </row>
    <row r="479" spans="3:10" ht="18" x14ac:dyDescent="0.25">
      <c r="C479" s="10"/>
      <c r="D479" s="78"/>
      <c r="E479" s="2"/>
      <c r="F479" s="2"/>
      <c r="G479" s="62"/>
      <c r="H479" s="62"/>
      <c r="I479" s="79"/>
      <c r="J479" s="62"/>
    </row>
    <row r="480" spans="3:10" ht="18" x14ac:dyDescent="0.25">
      <c r="C480" s="10"/>
      <c r="D480" s="78"/>
      <c r="E480" s="63"/>
      <c r="F480" s="63"/>
      <c r="G480" s="62"/>
      <c r="H480" s="62"/>
      <c r="I480" s="79"/>
      <c r="J480" s="62"/>
    </row>
    <row r="481" spans="3:11" x14ac:dyDescent="0.25">
      <c r="C481" s="10"/>
      <c r="D481" s="78"/>
      <c r="E481" s="64"/>
      <c r="F481" s="64"/>
      <c r="G481" s="62"/>
      <c r="H481" s="62"/>
      <c r="I481" s="79"/>
      <c r="J481" s="62"/>
    </row>
    <row r="482" spans="3:11" x14ac:dyDescent="0.25">
      <c r="C482" s="10"/>
      <c r="D482" s="78"/>
      <c r="E482" s="64"/>
      <c r="F482" s="64"/>
      <c r="G482" s="62"/>
      <c r="H482" s="62"/>
      <c r="I482" s="79"/>
      <c r="J482" s="62"/>
    </row>
    <row r="483" spans="3:11" x14ac:dyDescent="0.25">
      <c r="C483" s="10"/>
      <c r="D483" s="10"/>
      <c r="E483" s="10"/>
      <c r="F483" s="10"/>
      <c r="G483" s="10"/>
      <c r="H483" s="10"/>
      <c r="I483" s="10"/>
      <c r="J483" s="10"/>
    </row>
    <row r="484" spans="3:11" ht="15.75" x14ac:dyDescent="0.25">
      <c r="C484" s="10"/>
      <c r="D484" s="10"/>
      <c r="E484" s="10"/>
      <c r="F484" s="10"/>
      <c r="G484" s="10"/>
      <c r="H484" s="10"/>
      <c r="I484" s="65"/>
      <c r="J484" s="66"/>
    </row>
    <row r="485" spans="3:11" ht="15.75" x14ac:dyDescent="0.25">
      <c r="C485" s="10"/>
      <c r="D485" s="10"/>
      <c r="E485" s="10"/>
      <c r="F485" s="10"/>
      <c r="G485" s="10"/>
      <c r="H485" s="10"/>
      <c r="I485" s="65"/>
      <c r="J485" s="66"/>
    </row>
    <row r="486" spans="3:11" ht="15.75" x14ac:dyDescent="0.25">
      <c r="C486" s="10"/>
      <c r="D486" s="10"/>
      <c r="E486" s="10"/>
      <c r="F486" s="10"/>
      <c r="G486" s="10"/>
      <c r="H486" s="10"/>
      <c r="I486" s="65"/>
      <c r="J486" s="66"/>
    </row>
    <row r="487" spans="3:11" x14ac:dyDescent="0.25">
      <c r="C487" s="10"/>
      <c r="D487" s="10"/>
      <c r="E487" s="10"/>
      <c r="F487" s="10"/>
      <c r="G487" s="10"/>
      <c r="H487" s="10"/>
      <c r="I487" s="10"/>
      <c r="J487" s="10"/>
    </row>
    <row r="488" spans="3:11" x14ac:dyDescent="0.25">
      <c r="C488" s="10"/>
      <c r="D488" s="10"/>
      <c r="E488" s="10"/>
      <c r="F488" s="10"/>
      <c r="G488" s="10"/>
      <c r="H488" s="10"/>
      <c r="I488" s="10"/>
      <c r="J488" s="10"/>
    </row>
    <row r="496" spans="3:11" x14ac:dyDescent="0.25">
      <c r="K496" s="10"/>
    </row>
    <row r="497" spans="11:20" x14ac:dyDescent="0.25">
      <c r="K497" s="10"/>
    </row>
    <row r="498" spans="11:20" x14ac:dyDescent="0.25">
      <c r="K498" s="10"/>
    </row>
    <row r="499" spans="11:20" x14ac:dyDescent="0.25">
      <c r="K499" s="10"/>
    </row>
    <row r="500" spans="11:20" x14ac:dyDescent="0.25">
      <c r="K500" s="10"/>
    </row>
    <row r="501" spans="11:20" x14ac:dyDescent="0.25">
      <c r="K501" s="10"/>
    </row>
    <row r="502" spans="11:20" x14ac:dyDescent="0.25">
      <c r="K502" s="10"/>
    </row>
    <row r="503" spans="11:20" x14ac:dyDescent="0.25">
      <c r="K503" s="10"/>
    </row>
    <row r="504" spans="11:20" x14ac:dyDescent="0.25">
      <c r="K504" s="10"/>
    </row>
    <row r="505" spans="11:20" x14ac:dyDescent="0.25">
      <c r="K505" s="10"/>
    </row>
    <row r="506" spans="11:20" x14ac:dyDescent="0.25">
      <c r="K506" s="10"/>
    </row>
    <row r="507" spans="11:20" x14ac:dyDescent="0.25">
      <c r="K507" s="10"/>
      <c r="L507" s="10"/>
      <c r="M507" s="10"/>
      <c r="N507" s="10"/>
      <c r="O507" s="10"/>
      <c r="P507" s="10"/>
      <c r="Q507" s="10"/>
      <c r="R507" s="10"/>
      <c r="S507" s="10"/>
      <c r="T507" s="10"/>
    </row>
    <row r="508" spans="11:20" x14ac:dyDescent="0.25">
      <c r="K508" s="10"/>
      <c r="L508" s="10"/>
      <c r="M508" s="10"/>
      <c r="N508" s="10"/>
      <c r="O508" s="10"/>
      <c r="P508" s="10"/>
      <c r="Q508" s="10"/>
      <c r="R508" s="10"/>
      <c r="S508" s="10"/>
      <c r="T508" s="10"/>
    </row>
    <row r="509" spans="11:20" x14ac:dyDescent="0.25">
      <c r="K509" s="10"/>
      <c r="L509" s="10"/>
      <c r="M509" s="10"/>
      <c r="N509" s="10"/>
      <c r="O509" s="10"/>
      <c r="P509" s="10"/>
      <c r="Q509" s="10"/>
      <c r="R509" s="10"/>
      <c r="S509" s="10"/>
      <c r="T509" s="10"/>
    </row>
    <row r="510" spans="11:20" x14ac:dyDescent="0.25">
      <c r="L510" s="10"/>
      <c r="M510" s="10"/>
      <c r="N510" s="10"/>
      <c r="O510" s="10"/>
      <c r="P510" s="10"/>
      <c r="Q510" s="10"/>
      <c r="R510" s="10"/>
      <c r="S510" s="10"/>
      <c r="T510" s="10"/>
    </row>
    <row r="511" spans="11:20" x14ac:dyDescent="0.25">
      <c r="L511" s="10"/>
      <c r="M511" s="10"/>
      <c r="N511" s="10"/>
      <c r="O511" s="10"/>
      <c r="P511" s="10"/>
      <c r="Q511" s="10"/>
      <c r="R511" s="10"/>
      <c r="S511" s="10"/>
      <c r="T511" s="10"/>
    </row>
    <row r="512" spans="11:20" x14ac:dyDescent="0.25">
      <c r="L512" s="10"/>
      <c r="M512" s="10"/>
      <c r="N512" s="10"/>
      <c r="O512" s="10"/>
      <c r="P512" s="10"/>
      <c r="Q512" s="10"/>
      <c r="R512" s="10"/>
      <c r="S512" s="10"/>
      <c r="T512" s="10"/>
    </row>
    <row r="513" spans="12:20" x14ac:dyDescent="0.25">
      <c r="L513" s="10"/>
      <c r="M513" s="10"/>
      <c r="N513" s="10"/>
      <c r="O513" s="10"/>
      <c r="P513" s="10"/>
      <c r="Q513" s="10"/>
      <c r="R513" s="10"/>
      <c r="S513" s="10"/>
      <c r="T513" s="10"/>
    </row>
    <row r="514" spans="12:20" x14ac:dyDescent="0.25">
      <c r="L514" s="10"/>
      <c r="M514" s="10"/>
      <c r="N514" s="10"/>
      <c r="O514" s="10"/>
      <c r="P514" s="10"/>
      <c r="Q514" s="10"/>
      <c r="R514" s="10"/>
      <c r="S514" s="10"/>
      <c r="T514" s="10"/>
    </row>
    <row r="515" spans="12:20" x14ac:dyDescent="0.25">
      <c r="L515" s="10"/>
      <c r="M515" s="10"/>
      <c r="N515" s="10"/>
      <c r="O515" s="10"/>
      <c r="P515" s="10"/>
      <c r="Q515" s="10"/>
      <c r="R515" s="10"/>
      <c r="S515" s="10"/>
      <c r="T515" s="10"/>
    </row>
    <row r="516" spans="12:20" x14ac:dyDescent="0.25">
      <c r="L516" s="10"/>
      <c r="M516" s="10"/>
      <c r="N516" s="10"/>
      <c r="O516" s="10"/>
      <c r="P516" s="10"/>
      <c r="Q516" s="10"/>
      <c r="R516" s="10"/>
      <c r="S516" s="10"/>
      <c r="T516" s="10"/>
    </row>
    <row r="517" spans="12:20" x14ac:dyDescent="0.25">
      <c r="L517" s="10"/>
      <c r="M517" s="10"/>
      <c r="N517" s="10"/>
      <c r="O517" s="10"/>
      <c r="P517" s="10"/>
      <c r="Q517" s="10"/>
      <c r="R517" s="10"/>
      <c r="S517" s="10"/>
      <c r="T517" s="10"/>
    </row>
    <row r="518" spans="12:20" x14ac:dyDescent="0.25">
      <c r="L518" s="10"/>
      <c r="M518" s="10"/>
      <c r="N518" s="10"/>
      <c r="O518" s="10"/>
      <c r="P518" s="10"/>
      <c r="Q518" s="10"/>
      <c r="R518" s="10"/>
      <c r="S518" s="10"/>
      <c r="T518" s="10"/>
    </row>
    <row r="519" spans="12:20" x14ac:dyDescent="0.25">
      <c r="L519" s="10"/>
      <c r="M519" s="10"/>
      <c r="N519" s="10"/>
      <c r="O519" s="10"/>
      <c r="P519" s="10"/>
      <c r="Q519" s="10"/>
      <c r="R519" s="10"/>
      <c r="S519" s="10"/>
      <c r="T519" s="10"/>
    </row>
    <row r="520" spans="12:20" x14ac:dyDescent="0.25">
      <c r="L520" s="10"/>
      <c r="M520" s="10"/>
      <c r="N520" s="10"/>
      <c r="O520" s="10"/>
      <c r="P520" s="10"/>
      <c r="Q520" s="10"/>
      <c r="R520" s="10"/>
      <c r="S520" s="10"/>
      <c r="T520" s="10"/>
    </row>
  </sheetData>
  <mergeCells count="2">
    <mergeCell ref="D478:D482"/>
    <mergeCell ref="I478:I482"/>
  </mergeCells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Página Principal</vt:lpstr>
      <vt:lpstr>Registro de Clientes</vt:lpstr>
      <vt:lpstr>Registro de Servicios</vt:lpstr>
      <vt:lpstr>BD de Clientes</vt:lpstr>
      <vt:lpstr>BD de Precios con Servicios</vt:lpstr>
      <vt:lpstr>BD de Estilistas</vt:lpstr>
      <vt:lpstr>Historial de Facturas</vt:lpstr>
      <vt:lpstr>'Registro de Servicios'!Área_de_impresión</vt:lpstr>
      <vt:lpstr>Estilistas</vt:lpstr>
      <vt:lpstr>FormatosdePago</vt:lpstr>
      <vt:lpstr>Names</vt:lpstr>
      <vt:lpstr>PreciosPromo</vt:lpstr>
      <vt:lpstr>PreciosRegulares</vt:lpstr>
      <vt:lpstr>Servicios</vt:lpstr>
      <vt:lpstr>ServiciosRegulares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Paola Daniela Mojica Caballero</dc:creator>
  <cp:lastModifiedBy>Paola Daniela Mojica Caballero</cp:lastModifiedBy>
  <cp:lastPrinted>2019-12-11T17:29:33Z</cp:lastPrinted>
  <dcterms:created xsi:type="dcterms:W3CDTF">2019-11-12T15:20:47Z</dcterms:created>
  <dcterms:modified xsi:type="dcterms:W3CDTF">2019-12-11T21:11:14Z</dcterms:modified>
</cp:coreProperties>
</file>